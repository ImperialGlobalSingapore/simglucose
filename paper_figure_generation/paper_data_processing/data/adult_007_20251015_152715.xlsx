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rbird_ic_ac_uk/Documents/Desktop/Documents/Research/Glucose Test Rig/Data/Fall 2025 Data/Test Rig Attacks/"/>
    </mc:Choice>
  </mc:AlternateContent>
  <xr:revisionPtr revIDLastSave="79" documentId="8_{6AB521B8-64B1-459D-ABF3-B635D76520E2}" xr6:coauthVersionLast="47" xr6:coauthVersionMax="47" xr10:uidLastSave="{E8AC157D-64C4-4FC8-984D-A9586406C765}"/>
  <bookViews>
    <workbookView xWindow="-80" yWindow="-80" windowWidth="19360" windowHeight="11440" xr2:uid="{CD7AC9FC-F5E8-4E95-AC06-D9D737B80BF7}"/>
  </bookViews>
  <sheets>
    <sheet name="adult_007_20251015_1527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C44" i="1" s="1"/>
  <c r="D44" i="1" s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C58" i="1" s="1"/>
  <c r="D58" i="1" s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C72" i="1" s="1"/>
  <c r="D72" i="1" s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C86" i="1" s="1"/>
  <c r="D86" i="1" s="1"/>
  <c r="B87" i="1"/>
  <c r="C87" i="1" s="1"/>
  <c r="D87" i="1" s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C100" i="1" s="1"/>
  <c r="D100" i="1" s="1"/>
  <c r="B101" i="1"/>
  <c r="C101" i="1" s="1"/>
  <c r="D101" i="1" s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C114" i="1" s="1"/>
  <c r="D114" i="1" s="1"/>
  <c r="B115" i="1"/>
  <c r="C115" i="1" s="1"/>
  <c r="D115" i="1" s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C128" i="1" s="1"/>
  <c r="D128" i="1" s="1"/>
  <c r="B129" i="1"/>
  <c r="C129" i="1" s="1"/>
  <c r="D129" i="1" s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C142" i="1" s="1"/>
  <c r="D142" i="1" s="1"/>
  <c r="B143" i="1"/>
  <c r="C143" i="1" s="1"/>
  <c r="D143" i="1" s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C156" i="1" s="1"/>
  <c r="D156" i="1" s="1"/>
  <c r="B157" i="1"/>
  <c r="C157" i="1" s="1"/>
  <c r="D157" i="1" s="1"/>
  <c r="B158" i="1"/>
  <c r="B159" i="1"/>
  <c r="B160" i="1"/>
  <c r="B161" i="1"/>
  <c r="B162" i="1"/>
  <c r="B163" i="1"/>
  <c r="B164" i="1"/>
  <c r="B165" i="1"/>
  <c r="B166" i="1"/>
  <c r="B167" i="1"/>
  <c r="B168" i="1"/>
  <c r="B2" i="1"/>
  <c r="C2" i="1" s="1"/>
  <c r="D2" i="1" s="1"/>
  <c r="C68" i="1" l="1"/>
  <c r="D68" i="1" s="1"/>
  <c r="C30" i="1"/>
  <c r="D30" i="1" s="1"/>
  <c r="C99" i="1"/>
  <c r="D99" i="1" s="1"/>
  <c r="C57" i="1"/>
  <c r="D57" i="1" s="1"/>
  <c r="C126" i="1"/>
  <c r="D126" i="1" s="1"/>
  <c r="C98" i="1"/>
  <c r="D98" i="1" s="1"/>
  <c r="C14" i="1"/>
  <c r="D14" i="1" s="1"/>
  <c r="C153" i="1"/>
  <c r="D153" i="1" s="1"/>
  <c r="C83" i="1"/>
  <c r="D83" i="1" s="1"/>
  <c r="C13" i="1"/>
  <c r="D13" i="1" s="1"/>
  <c r="C152" i="1"/>
  <c r="D152" i="1" s="1"/>
  <c r="C124" i="1"/>
  <c r="D124" i="1" s="1"/>
  <c r="C96" i="1"/>
  <c r="D96" i="1" s="1"/>
  <c r="C54" i="1"/>
  <c r="D54" i="1" s="1"/>
  <c r="C12" i="1"/>
  <c r="D12" i="1" s="1"/>
  <c r="C165" i="1"/>
  <c r="D165" i="1" s="1"/>
  <c r="C151" i="1"/>
  <c r="D151" i="1" s="1"/>
  <c r="C137" i="1"/>
  <c r="D137" i="1" s="1"/>
  <c r="C123" i="1"/>
  <c r="D123" i="1" s="1"/>
  <c r="C109" i="1"/>
  <c r="D109" i="1" s="1"/>
  <c r="C95" i="1"/>
  <c r="D95" i="1" s="1"/>
  <c r="C81" i="1"/>
  <c r="D81" i="1" s="1"/>
  <c r="C67" i="1"/>
  <c r="D67" i="1" s="1"/>
  <c r="C53" i="1"/>
  <c r="D53" i="1" s="1"/>
  <c r="C39" i="1"/>
  <c r="D39" i="1" s="1"/>
  <c r="C25" i="1"/>
  <c r="D25" i="1" s="1"/>
  <c r="C11" i="1"/>
  <c r="D11" i="1" s="1"/>
  <c r="C16" i="1"/>
  <c r="D16" i="1" s="1"/>
  <c r="C85" i="1"/>
  <c r="D85" i="1" s="1"/>
  <c r="C43" i="1"/>
  <c r="D43" i="1" s="1"/>
  <c r="C112" i="1"/>
  <c r="D112" i="1" s="1"/>
  <c r="C84" i="1"/>
  <c r="D84" i="1" s="1"/>
  <c r="C28" i="1"/>
  <c r="D28" i="1" s="1"/>
  <c r="C167" i="1"/>
  <c r="D167" i="1" s="1"/>
  <c r="C97" i="1"/>
  <c r="D97" i="1" s="1"/>
  <c r="C69" i="1"/>
  <c r="D69" i="1" s="1"/>
  <c r="C27" i="1"/>
  <c r="D27" i="1" s="1"/>
  <c r="C166" i="1"/>
  <c r="D166" i="1" s="1"/>
  <c r="C138" i="1"/>
  <c r="D138" i="1" s="1"/>
  <c r="C110" i="1"/>
  <c r="D110" i="1" s="1"/>
  <c r="C82" i="1"/>
  <c r="D82" i="1" s="1"/>
  <c r="C40" i="1"/>
  <c r="D40" i="1" s="1"/>
  <c r="C26" i="1"/>
  <c r="D26" i="1" s="1"/>
  <c r="C164" i="1"/>
  <c r="D164" i="1" s="1"/>
  <c r="C150" i="1"/>
  <c r="D150" i="1" s="1"/>
  <c r="C136" i="1"/>
  <c r="D136" i="1" s="1"/>
  <c r="C122" i="1"/>
  <c r="D122" i="1" s="1"/>
  <c r="C108" i="1"/>
  <c r="D108" i="1" s="1"/>
  <c r="C94" i="1"/>
  <c r="D94" i="1" s="1"/>
  <c r="C80" i="1"/>
  <c r="D80" i="1" s="1"/>
  <c r="C66" i="1"/>
  <c r="D66" i="1" s="1"/>
  <c r="C52" i="1"/>
  <c r="D52" i="1" s="1"/>
  <c r="C38" i="1"/>
  <c r="D38" i="1" s="1"/>
  <c r="C24" i="1"/>
  <c r="D24" i="1" s="1"/>
  <c r="C10" i="1"/>
  <c r="D10" i="1" s="1"/>
  <c r="C113" i="1"/>
  <c r="D113" i="1" s="1"/>
  <c r="C140" i="1"/>
  <c r="D140" i="1" s="1"/>
  <c r="C70" i="1"/>
  <c r="D70" i="1" s="1"/>
  <c r="C139" i="1"/>
  <c r="D139" i="1" s="1"/>
  <c r="C41" i="1"/>
  <c r="D41" i="1" s="1"/>
  <c r="C163" i="1"/>
  <c r="D163" i="1" s="1"/>
  <c r="C149" i="1"/>
  <c r="D149" i="1" s="1"/>
  <c r="C135" i="1"/>
  <c r="D135" i="1" s="1"/>
  <c r="C121" i="1"/>
  <c r="D121" i="1" s="1"/>
  <c r="C107" i="1"/>
  <c r="D107" i="1" s="1"/>
  <c r="C93" i="1"/>
  <c r="D93" i="1" s="1"/>
  <c r="C79" i="1"/>
  <c r="D79" i="1" s="1"/>
  <c r="C65" i="1"/>
  <c r="D65" i="1" s="1"/>
  <c r="C51" i="1"/>
  <c r="D51" i="1" s="1"/>
  <c r="C37" i="1"/>
  <c r="D37" i="1" s="1"/>
  <c r="C23" i="1"/>
  <c r="D23" i="1" s="1"/>
  <c r="C9" i="1"/>
  <c r="D9" i="1" s="1"/>
  <c r="C127" i="1"/>
  <c r="D127" i="1" s="1"/>
  <c r="C154" i="1"/>
  <c r="D154" i="1" s="1"/>
  <c r="C56" i="1"/>
  <c r="D56" i="1" s="1"/>
  <c r="C125" i="1"/>
  <c r="D125" i="1" s="1"/>
  <c r="C55" i="1"/>
  <c r="D55" i="1" s="1"/>
  <c r="C162" i="1"/>
  <c r="D162" i="1" s="1"/>
  <c r="C148" i="1"/>
  <c r="D148" i="1" s="1"/>
  <c r="C134" i="1"/>
  <c r="D134" i="1" s="1"/>
  <c r="C120" i="1"/>
  <c r="D120" i="1" s="1"/>
  <c r="C106" i="1"/>
  <c r="D106" i="1" s="1"/>
  <c r="C92" i="1"/>
  <c r="D92" i="1" s="1"/>
  <c r="C78" i="1"/>
  <c r="D78" i="1" s="1"/>
  <c r="C64" i="1"/>
  <c r="D64" i="1" s="1"/>
  <c r="C50" i="1"/>
  <c r="D50" i="1" s="1"/>
  <c r="C36" i="1"/>
  <c r="D36" i="1" s="1"/>
  <c r="C22" i="1"/>
  <c r="D22" i="1" s="1"/>
  <c r="C8" i="1"/>
  <c r="D8" i="1" s="1"/>
  <c r="C141" i="1"/>
  <c r="D141" i="1" s="1"/>
  <c r="C168" i="1"/>
  <c r="D168" i="1" s="1"/>
  <c r="C42" i="1"/>
  <c r="D42" i="1" s="1"/>
  <c r="C111" i="1"/>
  <c r="D111" i="1" s="1"/>
  <c r="C161" i="1"/>
  <c r="D161" i="1" s="1"/>
  <c r="C147" i="1"/>
  <c r="D147" i="1" s="1"/>
  <c r="C133" i="1"/>
  <c r="D133" i="1" s="1"/>
  <c r="C119" i="1"/>
  <c r="D119" i="1" s="1"/>
  <c r="C105" i="1"/>
  <c r="D105" i="1" s="1"/>
  <c r="C91" i="1"/>
  <c r="D91" i="1" s="1"/>
  <c r="C77" i="1"/>
  <c r="D77" i="1" s="1"/>
  <c r="C63" i="1"/>
  <c r="D63" i="1" s="1"/>
  <c r="C49" i="1"/>
  <c r="D49" i="1" s="1"/>
  <c r="C35" i="1"/>
  <c r="D35" i="1" s="1"/>
  <c r="C21" i="1"/>
  <c r="D21" i="1" s="1"/>
  <c r="C7" i="1"/>
  <c r="D7" i="1" s="1"/>
  <c r="C71" i="1"/>
  <c r="D71" i="1" s="1"/>
  <c r="C160" i="1"/>
  <c r="D160" i="1" s="1"/>
  <c r="C118" i="1"/>
  <c r="D118" i="1" s="1"/>
  <c r="C76" i="1"/>
  <c r="D76" i="1" s="1"/>
  <c r="C34" i="1"/>
  <c r="D34" i="1" s="1"/>
  <c r="C20" i="1"/>
  <c r="D20" i="1" s="1"/>
  <c r="C6" i="1"/>
  <c r="D6" i="1" s="1"/>
  <c r="C155" i="1"/>
  <c r="D155" i="1" s="1"/>
  <c r="C15" i="1"/>
  <c r="D15" i="1" s="1"/>
  <c r="C132" i="1"/>
  <c r="D132" i="1" s="1"/>
  <c r="C104" i="1"/>
  <c r="D104" i="1" s="1"/>
  <c r="C48" i="1"/>
  <c r="D48" i="1" s="1"/>
  <c r="C159" i="1"/>
  <c r="D159" i="1" s="1"/>
  <c r="C145" i="1"/>
  <c r="D145" i="1" s="1"/>
  <c r="C131" i="1"/>
  <c r="D131" i="1" s="1"/>
  <c r="C117" i="1"/>
  <c r="D117" i="1" s="1"/>
  <c r="C103" i="1"/>
  <c r="D103" i="1" s="1"/>
  <c r="C89" i="1"/>
  <c r="D89" i="1" s="1"/>
  <c r="C75" i="1"/>
  <c r="D75" i="1" s="1"/>
  <c r="C61" i="1"/>
  <c r="D61" i="1" s="1"/>
  <c r="C47" i="1"/>
  <c r="D47" i="1" s="1"/>
  <c r="C33" i="1"/>
  <c r="D33" i="1" s="1"/>
  <c r="C19" i="1"/>
  <c r="D19" i="1" s="1"/>
  <c r="C5" i="1"/>
  <c r="D5" i="1" s="1"/>
  <c r="C29" i="1"/>
  <c r="D29" i="1" s="1"/>
  <c r="C146" i="1"/>
  <c r="D146" i="1" s="1"/>
  <c r="C90" i="1"/>
  <c r="D90" i="1" s="1"/>
  <c r="C62" i="1"/>
  <c r="D62" i="1" s="1"/>
  <c r="C158" i="1"/>
  <c r="D158" i="1" s="1"/>
  <c r="C144" i="1"/>
  <c r="D144" i="1" s="1"/>
  <c r="C130" i="1"/>
  <c r="D130" i="1" s="1"/>
  <c r="C116" i="1"/>
  <c r="D116" i="1" s="1"/>
  <c r="C102" i="1"/>
  <c r="D102" i="1" s="1"/>
  <c r="C88" i="1"/>
  <c r="D88" i="1" s="1"/>
  <c r="C74" i="1"/>
  <c r="D74" i="1" s="1"/>
  <c r="C60" i="1"/>
  <c r="D60" i="1" s="1"/>
  <c r="C46" i="1"/>
  <c r="D46" i="1" s="1"/>
  <c r="C32" i="1"/>
  <c r="D32" i="1" s="1"/>
  <c r="C18" i="1"/>
  <c r="D18" i="1" s="1"/>
  <c r="C4" i="1"/>
  <c r="D4" i="1" s="1"/>
  <c r="C73" i="1"/>
  <c r="D73" i="1" s="1"/>
  <c r="C59" i="1"/>
  <c r="D59" i="1" s="1"/>
  <c r="C45" i="1"/>
  <c r="D45" i="1" s="1"/>
  <c r="C31" i="1"/>
  <c r="D31" i="1" s="1"/>
  <c r="C17" i="1"/>
  <c r="D17" i="1" s="1"/>
  <c r="C3" i="1"/>
  <c r="D3" i="1" s="1"/>
</calcChain>
</file>

<file path=xl/sharedStrings.xml><?xml version="1.0" encoding="utf-8"?>
<sst xmlns="http://schemas.openxmlformats.org/spreadsheetml/2006/main" count="12" uniqueCount="12">
  <si>
    <t>timestamp</t>
  </si>
  <si>
    <t>insulin</t>
  </si>
  <si>
    <t>pump_flowrate_total</t>
  </si>
  <si>
    <t>pump_glucose_flow</t>
  </si>
  <si>
    <t>pump_buffer_flow</t>
  </si>
  <si>
    <t>Time</t>
  </si>
  <si>
    <t>Time difference</t>
  </si>
  <si>
    <t>Time (min)</t>
  </si>
  <si>
    <t>Hypoglycemia</t>
  </si>
  <si>
    <t>Hyperglycermia</t>
  </si>
  <si>
    <t>CGM Reading</t>
  </si>
  <si>
    <t>Virtual Patient 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</si>
</sst>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8" fontId="0" fillId="0" borderId="0" xfId="0" applyNumberFormat="1"/>
    <xf numFmtId="2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adult_007_20251015_152715!$E$1</c:f>
              <c:strCache>
                <c:ptCount val="1"/>
                <c:pt idx="0">
                  <c:v>CGM Reading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adult_007_20251015_152715!$E$2:$E$168</c:f>
              <c:numCache>
                <c:formatCode>General</c:formatCode>
                <c:ptCount val="167"/>
                <c:pt idx="0">
                  <c:v>122.4</c:v>
                </c:pt>
                <c:pt idx="1">
                  <c:v>125.8</c:v>
                </c:pt>
                <c:pt idx="2">
                  <c:v>126.9</c:v>
                </c:pt>
                <c:pt idx="3">
                  <c:v>127.4</c:v>
                </c:pt>
                <c:pt idx="4">
                  <c:v>128.30000000000001</c:v>
                </c:pt>
                <c:pt idx="5">
                  <c:v>129.4</c:v>
                </c:pt>
                <c:pt idx="6">
                  <c:v>128.9</c:v>
                </c:pt>
                <c:pt idx="7">
                  <c:v>128.30000000000001</c:v>
                </c:pt>
                <c:pt idx="8">
                  <c:v>128.5</c:v>
                </c:pt>
                <c:pt idx="9">
                  <c:v>130.5</c:v>
                </c:pt>
                <c:pt idx="10">
                  <c:v>132.5</c:v>
                </c:pt>
                <c:pt idx="11">
                  <c:v>134.5</c:v>
                </c:pt>
                <c:pt idx="12">
                  <c:v>136.4</c:v>
                </c:pt>
                <c:pt idx="13">
                  <c:v>138.4</c:v>
                </c:pt>
                <c:pt idx="14">
                  <c:v>131.19999999999999</c:v>
                </c:pt>
                <c:pt idx="15">
                  <c:v>144.5</c:v>
                </c:pt>
                <c:pt idx="16">
                  <c:v>146.5</c:v>
                </c:pt>
                <c:pt idx="17">
                  <c:v>148.5</c:v>
                </c:pt>
                <c:pt idx="18">
                  <c:v>150.5</c:v>
                </c:pt>
                <c:pt idx="19">
                  <c:v>152.5</c:v>
                </c:pt>
                <c:pt idx="20">
                  <c:v>154.4</c:v>
                </c:pt>
                <c:pt idx="21">
                  <c:v>156.4</c:v>
                </c:pt>
                <c:pt idx="22">
                  <c:v>158.6</c:v>
                </c:pt>
                <c:pt idx="23">
                  <c:v>160.6</c:v>
                </c:pt>
                <c:pt idx="24">
                  <c:v>162.5</c:v>
                </c:pt>
                <c:pt idx="25">
                  <c:v>164.5</c:v>
                </c:pt>
                <c:pt idx="26">
                  <c:v>166.5</c:v>
                </c:pt>
                <c:pt idx="27">
                  <c:v>132.80000000000001</c:v>
                </c:pt>
                <c:pt idx="28">
                  <c:v>170.5</c:v>
                </c:pt>
                <c:pt idx="29">
                  <c:v>172.4</c:v>
                </c:pt>
                <c:pt idx="30">
                  <c:v>135.19999999999999</c:v>
                </c:pt>
                <c:pt idx="31">
                  <c:v>178.6</c:v>
                </c:pt>
                <c:pt idx="32">
                  <c:v>180.5</c:v>
                </c:pt>
                <c:pt idx="33">
                  <c:v>182.5</c:v>
                </c:pt>
                <c:pt idx="34">
                  <c:v>184.5</c:v>
                </c:pt>
                <c:pt idx="35">
                  <c:v>186.5</c:v>
                </c:pt>
                <c:pt idx="36">
                  <c:v>188.5</c:v>
                </c:pt>
                <c:pt idx="37">
                  <c:v>190.4</c:v>
                </c:pt>
                <c:pt idx="38">
                  <c:v>192.4</c:v>
                </c:pt>
                <c:pt idx="39">
                  <c:v>194.6</c:v>
                </c:pt>
                <c:pt idx="40">
                  <c:v>196.6</c:v>
                </c:pt>
                <c:pt idx="41">
                  <c:v>198.5</c:v>
                </c:pt>
                <c:pt idx="42">
                  <c:v>200.5</c:v>
                </c:pt>
                <c:pt idx="43">
                  <c:v>202.5</c:v>
                </c:pt>
                <c:pt idx="44">
                  <c:v>204.5</c:v>
                </c:pt>
                <c:pt idx="45">
                  <c:v>206.5</c:v>
                </c:pt>
                <c:pt idx="46">
                  <c:v>208.4</c:v>
                </c:pt>
                <c:pt idx="47">
                  <c:v>131.6</c:v>
                </c:pt>
                <c:pt idx="48">
                  <c:v>212.6</c:v>
                </c:pt>
                <c:pt idx="49">
                  <c:v>214.6</c:v>
                </c:pt>
                <c:pt idx="50">
                  <c:v>216.5</c:v>
                </c:pt>
                <c:pt idx="51">
                  <c:v>218.5</c:v>
                </c:pt>
                <c:pt idx="52">
                  <c:v>220.5</c:v>
                </c:pt>
                <c:pt idx="53">
                  <c:v>222.5</c:v>
                </c:pt>
                <c:pt idx="54">
                  <c:v>224.5</c:v>
                </c:pt>
                <c:pt idx="55">
                  <c:v>226.4</c:v>
                </c:pt>
                <c:pt idx="56">
                  <c:v>230.6</c:v>
                </c:pt>
                <c:pt idx="57">
                  <c:v>232.6</c:v>
                </c:pt>
                <c:pt idx="58">
                  <c:v>234.5</c:v>
                </c:pt>
                <c:pt idx="59">
                  <c:v>236.5</c:v>
                </c:pt>
                <c:pt idx="60">
                  <c:v>238.5</c:v>
                </c:pt>
                <c:pt idx="61">
                  <c:v>240.5</c:v>
                </c:pt>
                <c:pt idx="62">
                  <c:v>242.5</c:v>
                </c:pt>
                <c:pt idx="63">
                  <c:v>244.4</c:v>
                </c:pt>
                <c:pt idx="64">
                  <c:v>246.4</c:v>
                </c:pt>
                <c:pt idx="65">
                  <c:v>248.6</c:v>
                </c:pt>
                <c:pt idx="66">
                  <c:v>250.6</c:v>
                </c:pt>
                <c:pt idx="67">
                  <c:v>252.5</c:v>
                </c:pt>
                <c:pt idx="68">
                  <c:v>254.5</c:v>
                </c:pt>
                <c:pt idx="69">
                  <c:v>256.5</c:v>
                </c:pt>
                <c:pt idx="70">
                  <c:v>258.5</c:v>
                </c:pt>
                <c:pt idx="71">
                  <c:v>260.5</c:v>
                </c:pt>
                <c:pt idx="72">
                  <c:v>262.39999999999998</c:v>
                </c:pt>
                <c:pt idx="73">
                  <c:v>264.39999999999998</c:v>
                </c:pt>
                <c:pt idx="74">
                  <c:v>266.60000000000002</c:v>
                </c:pt>
                <c:pt idx="75">
                  <c:v>268.60000000000002</c:v>
                </c:pt>
                <c:pt idx="76">
                  <c:v>270.5</c:v>
                </c:pt>
                <c:pt idx="77">
                  <c:v>272.5</c:v>
                </c:pt>
                <c:pt idx="78">
                  <c:v>276.5</c:v>
                </c:pt>
                <c:pt idx="79">
                  <c:v>278.5</c:v>
                </c:pt>
                <c:pt idx="80">
                  <c:v>280.39999999999998</c:v>
                </c:pt>
                <c:pt idx="81">
                  <c:v>282.39999999999998</c:v>
                </c:pt>
                <c:pt idx="82">
                  <c:v>284.60000000000002</c:v>
                </c:pt>
                <c:pt idx="83">
                  <c:v>286.60000000000002</c:v>
                </c:pt>
                <c:pt idx="84">
                  <c:v>288.5</c:v>
                </c:pt>
                <c:pt idx="85">
                  <c:v>290.5</c:v>
                </c:pt>
                <c:pt idx="86">
                  <c:v>292.5</c:v>
                </c:pt>
                <c:pt idx="87">
                  <c:v>110.9</c:v>
                </c:pt>
                <c:pt idx="88">
                  <c:v>296.5</c:v>
                </c:pt>
                <c:pt idx="89">
                  <c:v>298.39999999999998</c:v>
                </c:pt>
                <c:pt idx="90">
                  <c:v>300.10000000000002</c:v>
                </c:pt>
                <c:pt idx="91">
                  <c:v>300.10000000000002</c:v>
                </c:pt>
                <c:pt idx="92">
                  <c:v>300.10000000000002</c:v>
                </c:pt>
                <c:pt idx="93">
                  <c:v>300.10000000000002</c:v>
                </c:pt>
                <c:pt idx="94">
                  <c:v>300.10000000000002</c:v>
                </c:pt>
                <c:pt idx="95">
                  <c:v>300.10000000000002</c:v>
                </c:pt>
                <c:pt idx="96">
                  <c:v>300.10000000000002</c:v>
                </c:pt>
                <c:pt idx="97">
                  <c:v>300.10000000000002</c:v>
                </c:pt>
                <c:pt idx="98">
                  <c:v>300.10000000000002</c:v>
                </c:pt>
                <c:pt idx="99">
                  <c:v>300.10000000000002</c:v>
                </c:pt>
                <c:pt idx="100">
                  <c:v>300.10000000000002</c:v>
                </c:pt>
                <c:pt idx="101">
                  <c:v>300.10000000000002</c:v>
                </c:pt>
                <c:pt idx="102">
                  <c:v>300.10000000000002</c:v>
                </c:pt>
                <c:pt idx="103">
                  <c:v>300.10000000000002</c:v>
                </c:pt>
                <c:pt idx="104">
                  <c:v>300.10000000000002</c:v>
                </c:pt>
                <c:pt idx="105">
                  <c:v>300.10000000000002</c:v>
                </c:pt>
                <c:pt idx="106">
                  <c:v>300.10000000000002</c:v>
                </c:pt>
                <c:pt idx="107">
                  <c:v>300.10000000000002</c:v>
                </c:pt>
                <c:pt idx="108">
                  <c:v>300.10000000000002</c:v>
                </c:pt>
                <c:pt idx="109">
                  <c:v>300.10000000000002</c:v>
                </c:pt>
                <c:pt idx="110">
                  <c:v>300.10000000000002</c:v>
                </c:pt>
                <c:pt idx="111">
                  <c:v>300.10000000000002</c:v>
                </c:pt>
                <c:pt idx="112">
                  <c:v>300.10000000000002</c:v>
                </c:pt>
                <c:pt idx="113">
                  <c:v>300.10000000000002</c:v>
                </c:pt>
                <c:pt idx="114">
                  <c:v>300.10000000000002</c:v>
                </c:pt>
                <c:pt idx="115">
                  <c:v>300.10000000000002</c:v>
                </c:pt>
                <c:pt idx="116">
                  <c:v>300.10000000000002</c:v>
                </c:pt>
                <c:pt idx="117">
                  <c:v>300.10000000000002</c:v>
                </c:pt>
                <c:pt idx="118">
                  <c:v>300.10000000000002</c:v>
                </c:pt>
                <c:pt idx="119">
                  <c:v>300.10000000000002</c:v>
                </c:pt>
                <c:pt idx="120">
                  <c:v>300.10000000000002</c:v>
                </c:pt>
                <c:pt idx="121">
                  <c:v>300.10000000000002</c:v>
                </c:pt>
                <c:pt idx="122">
                  <c:v>300.10000000000002</c:v>
                </c:pt>
                <c:pt idx="123">
                  <c:v>300.10000000000002</c:v>
                </c:pt>
                <c:pt idx="124">
                  <c:v>300.10000000000002</c:v>
                </c:pt>
                <c:pt idx="125">
                  <c:v>300.10000000000002</c:v>
                </c:pt>
                <c:pt idx="126">
                  <c:v>300.10000000000002</c:v>
                </c:pt>
                <c:pt idx="127">
                  <c:v>300.10000000000002</c:v>
                </c:pt>
                <c:pt idx="128">
                  <c:v>300.10000000000002</c:v>
                </c:pt>
                <c:pt idx="129">
                  <c:v>59.6</c:v>
                </c:pt>
                <c:pt idx="130">
                  <c:v>55.6</c:v>
                </c:pt>
                <c:pt idx="131">
                  <c:v>52</c:v>
                </c:pt>
                <c:pt idx="132">
                  <c:v>47</c:v>
                </c:pt>
                <c:pt idx="133">
                  <c:v>45.2</c:v>
                </c:pt>
                <c:pt idx="134">
                  <c:v>43.4</c:v>
                </c:pt>
                <c:pt idx="135">
                  <c:v>42.1</c:v>
                </c:pt>
                <c:pt idx="136">
                  <c:v>40.700000000000003</c:v>
                </c:pt>
                <c:pt idx="137">
                  <c:v>40</c:v>
                </c:pt>
                <c:pt idx="138">
                  <c:v>39.200000000000003</c:v>
                </c:pt>
                <c:pt idx="139">
                  <c:v>34.700000000000003</c:v>
                </c:pt>
                <c:pt idx="140">
                  <c:v>31.5</c:v>
                </c:pt>
                <c:pt idx="141">
                  <c:v>29.2</c:v>
                </c:pt>
                <c:pt idx="142">
                  <c:v>27.5</c:v>
                </c:pt>
                <c:pt idx="143">
                  <c:v>26.6</c:v>
                </c:pt>
                <c:pt idx="144">
                  <c:v>25.6</c:v>
                </c:pt>
                <c:pt idx="145">
                  <c:v>23</c:v>
                </c:pt>
                <c:pt idx="146">
                  <c:v>21.2</c:v>
                </c:pt>
                <c:pt idx="147">
                  <c:v>19.100000000000001</c:v>
                </c:pt>
                <c:pt idx="148">
                  <c:v>16.899999999999999</c:v>
                </c:pt>
                <c:pt idx="149">
                  <c:v>14.8</c:v>
                </c:pt>
                <c:pt idx="150">
                  <c:v>13</c:v>
                </c:pt>
                <c:pt idx="151">
                  <c:v>11.5</c:v>
                </c:pt>
                <c:pt idx="152">
                  <c:v>10.6</c:v>
                </c:pt>
                <c:pt idx="153">
                  <c:v>9.9</c:v>
                </c:pt>
                <c:pt idx="154">
                  <c:v>9.9</c:v>
                </c:pt>
                <c:pt idx="155">
                  <c:v>8.1</c:v>
                </c:pt>
                <c:pt idx="156">
                  <c:v>6.5</c:v>
                </c:pt>
                <c:pt idx="157">
                  <c:v>5.4</c:v>
                </c:pt>
                <c:pt idx="158">
                  <c:v>6.1</c:v>
                </c:pt>
                <c:pt idx="159">
                  <c:v>6.8</c:v>
                </c:pt>
                <c:pt idx="160">
                  <c:v>6.3</c:v>
                </c:pt>
                <c:pt idx="161">
                  <c:v>5.2</c:v>
                </c:pt>
                <c:pt idx="162">
                  <c:v>3.4</c:v>
                </c:pt>
                <c:pt idx="163">
                  <c:v>2.2999999999999998</c:v>
                </c:pt>
                <c:pt idx="164">
                  <c:v>2.2999999999999998</c:v>
                </c:pt>
                <c:pt idx="165">
                  <c:v>2.9</c:v>
                </c:pt>
                <c:pt idx="166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0D-47CE-B016-52EB099C85FA}"/>
            </c:ext>
          </c:extLst>
        </c:ser>
        <c:ser>
          <c:idx val="1"/>
          <c:order val="1"/>
          <c:tx>
            <c:strRef>
              <c:f>adult_007_20251015_152715!$F$1</c:f>
              <c:strCache>
                <c:ptCount val="1"/>
                <c:pt idx="0">
                  <c:v>Virtual Patient Glucose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adult_007_20251015_152715!$F$2:$F$168</c:f>
              <c:numCache>
                <c:formatCode>General</c:formatCode>
                <c:ptCount val="167"/>
                <c:pt idx="0">
                  <c:v>118.5</c:v>
                </c:pt>
                <c:pt idx="1">
                  <c:v>123.4</c:v>
                </c:pt>
                <c:pt idx="2">
                  <c:v>123</c:v>
                </c:pt>
                <c:pt idx="3">
                  <c:v>117.5</c:v>
                </c:pt>
                <c:pt idx="4">
                  <c:v>117.8</c:v>
                </c:pt>
                <c:pt idx="5">
                  <c:v>119.5</c:v>
                </c:pt>
                <c:pt idx="6">
                  <c:v>121.3</c:v>
                </c:pt>
                <c:pt idx="7">
                  <c:v>123.4</c:v>
                </c:pt>
                <c:pt idx="8">
                  <c:v>124.4</c:v>
                </c:pt>
                <c:pt idx="9">
                  <c:v>119.9</c:v>
                </c:pt>
                <c:pt idx="10">
                  <c:v>117.5</c:v>
                </c:pt>
                <c:pt idx="11">
                  <c:v>122</c:v>
                </c:pt>
                <c:pt idx="12">
                  <c:v>123.8</c:v>
                </c:pt>
                <c:pt idx="13">
                  <c:v>124.2</c:v>
                </c:pt>
                <c:pt idx="14">
                  <c:v>122.4</c:v>
                </c:pt>
                <c:pt idx="15">
                  <c:v>115.7</c:v>
                </c:pt>
                <c:pt idx="16">
                  <c:v>123.8</c:v>
                </c:pt>
                <c:pt idx="17">
                  <c:v>124</c:v>
                </c:pt>
                <c:pt idx="18">
                  <c:v>116.9</c:v>
                </c:pt>
                <c:pt idx="19">
                  <c:v>123.7</c:v>
                </c:pt>
                <c:pt idx="20">
                  <c:v>123.3</c:v>
                </c:pt>
                <c:pt idx="21">
                  <c:v>119.9</c:v>
                </c:pt>
                <c:pt idx="22">
                  <c:v>114.8</c:v>
                </c:pt>
                <c:pt idx="23">
                  <c:v>122.5</c:v>
                </c:pt>
                <c:pt idx="24">
                  <c:v>121.5</c:v>
                </c:pt>
                <c:pt idx="25">
                  <c:v>124</c:v>
                </c:pt>
                <c:pt idx="26">
                  <c:v>123.1</c:v>
                </c:pt>
                <c:pt idx="27">
                  <c:v>120.6</c:v>
                </c:pt>
                <c:pt idx="28">
                  <c:v>118.2</c:v>
                </c:pt>
                <c:pt idx="29">
                  <c:v>118</c:v>
                </c:pt>
                <c:pt idx="30">
                  <c:v>116.5</c:v>
                </c:pt>
                <c:pt idx="31">
                  <c:v>117.9</c:v>
                </c:pt>
                <c:pt idx="32">
                  <c:v>117.6</c:v>
                </c:pt>
                <c:pt idx="33">
                  <c:v>123.6</c:v>
                </c:pt>
                <c:pt idx="34">
                  <c:v>117.4</c:v>
                </c:pt>
                <c:pt idx="35">
                  <c:v>119.8</c:v>
                </c:pt>
                <c:pt idx="36">
                  <c:v>120.9</c:v>
                </c:pt>
                <c:pt idx="37">
                  <c:v>114.9</c:v>
                </c:pt>
                <c:pt idx="38">
                  <c:v>116.7</c:v>
                </c:pt>
                <c:pt idx="39">
                  <c:v>120.3</c:v>
                </c:pt>
                <c:pt idx="40">
                  <c:v>121.8</c:v>
                </c:pt>
                <c:pt idx="41">
                  <c:v>119.8</c:v>
                </c:pt>
                <c:pt idx="42">
                  <c:v>118.6</c:v>
                </c:pt>
                <c:pt idx="43">
                  <c:v>120.4</c:v>
                </c:pt>
                <c:pt idx="44">
                  <c:v>113.8</c:v>
                </c:pt>
                <c:pt idx="45">
                  <c:v>115.7</c:v>
                </c:pt>
                <c:pt idx="46">
                  <c:v>113.1</c:v>
                </c:pt>
                <c:pt idx="47">
                  <c:v>118.5</c:v>
                </c:pt>
                <c:pt idx="48">
                  <c:v>119.8</c:v>
                </c:pt>
                <c:pt idx="49">
                  <c:v>115.1</c:v>
                </c:pt>
                <c:pt idx="50">
                  <c:v>113.3</c:v>
                </c:pt>
                <c:pt idx="51">
                  <c:v>118.1</c:v>
                </c:pt>
                <c:pt idx="52">
                  <c:v>120.5</c:v>
                </c:pt>
                <c:pt idx="53">
                  <c:v>115.3</c:v>
                </c:pt>
                <c:pt idx="54">
                  <c:v>120</c:v>
                </c:pt>
                <c:pt idx="55">
                  <c:v>118.3</c:v>
                </c:pt>
                <c:pt idx="56">
                  <c:v>114.3</c:v>
                </c:pt>
                <c:pt idx="57">
                  <c:v>118.1</c:v>
                </c:pt>
                <c:pt idx="58">
                  <c:v>112.8</c:v>
                </c:pt>
                <c:pt idx="59">
                  <c:v>112.3</c:v>
                </c:pt>
                <c:pt idx="60">
                  <c:v>119.4</c:v>
                </c:pt>
                <c:pt idx="61">
                  <c:v>118.4</c:v>
                </c:pt>
                <c:pt idx="62">
                  <c:v>112.5</c:v>
                </c:pt>
                <c:pt idx="63">
                  <c:v>108.5</c:v>
                </c:pt>
                <c:pt idx="64">
                  <c:v>116.5</c:v>
                </c:pt>
                <c:pt idx="65">
                  <c:v>110.6</c:v>
                </c:pt>
                <c:pt idx="66">
                  <c:v>108.4</c:v>
                </c:pt>
                <c:pt idx="67">
                  <c:v>115.9</c:v>
                </c:pt>
                <c:pt idx="68">
                  <c:v>114.3</c:v>
                </c:pt>
                <c:pt idx="69">
                  <c:v>113.9</c:v>
                </c:pt>
                <c:pt idx="70">
                  <c:v>108.5</c:v>
                </c:pt>
                <c:pt idx="71">
                  <c:v>106.9</c:v>
                </c:pt>
                <c:pt idx="72">
                  <c:v>111.1</c:v>
                </c:pt>
                <c:pt idx="73">
                  <c:v>106.5</c:v>
                </c:pt>
                <c:pt idx="74">
                  <c:v>112.5</c:v>
                </c:pt>
                <c:pt idx="75">
                  <c:v>103.4</c:v>
                </c:pt>
                <c:pt idx="76">
                  <c:v>105.2</c:v>
                </c:pt>
                <c:pt idx="77">
                  <c:v>111.9</c:v>
                </c:pt>
                <c:pt idx="78">
                  <c:v>103.2</c:v>
                </c:pt>
                <c:pt idx="79">
                  <c:v>105.3</c:v>
                </c:pt>
                <c:pt idx="80">
                  <c:v>107.2</c:v>
                </c:pt>
                <c:pt idx="81">
                  <c:v>103.1</c:v>
                </c:pt>
                <c:pt idx="82">
                  <c:v>105.9</c:v>
                </c:pt>
                <c:pt idx="83">
                  <c:v>101.8</c:v>
                </c:pt>
                <c:pt idx="84">
                  <c:v>105</c:v>
                </c:pt>
                <c:pt idx="85">
                  <c:v>104</c:v>
                </c:pt>
                <c:pt idx="86">
                  <c:v>100.9</c:v>
                </c:pt>
                <c:pt idx="87">
                  <c:v>104.5</c:v>
                </c:pt>
                <c:pt idx="88">
                  <c:v>97.8</c:v>
                </c:pt>
                <c:pt idx="89">
                  <c:v>104.5</c:v>
                </c:pt>
                <c:pt idx="90">
                  <c:v>98.6</c:v>
                </c:pt>
                <c:pt idx="91">
                  <c:v>102.7</c:v>
                </c:pt>
                <c:pt idx="92">
                  <c:v>96.9</c:v>
                </c:pt>
                <c:pt idx="93">
                  <c:v>93.5</c:v>
                </c:pt>
                <c:pt idx="94">
                  <c:v>92.7</c:v>
                </c:pt>
                <c:pt idx="95">
                  <c:v>94.7</c:v>
                </c:pt>
                <c:pt idx="96">
                  <c:v>96.1</c:v>
                </c:pt>
                <c:pt idx="97">
                  <c:v>92.9</c:v>
                </c:pt>
                <c:pt idx="98">
                  <c:v>96.8</c:v>
                </c:pt>
                <c:pt idx="99">
                  <c:v>93.4</c:v>
                </c:pt>
                <c:pt idx="100">
                  <c:v>95.1</c:v>
                </c:pt>
                <c:pt idx="101">
                  <c:v>92.5</c:v>
                </c:pt>
                <c:pt idx="102">
                  <c:v>89</c:v>
                </c:pt>
                <c:pt idx="103">
                  <c:v>88.4</c:v>
                </c:pt>
                <c:pt idx="104">
                  <c:v>90.3</c:v>
                </c:pt>
                <c:pt idx="105">
                  <c:v>80.900000000000006</c:v>
                </c:pt>
                <c:pt idx="106">
                  <c:v>88</c:v>
                </c:pt>
                <c:pt idx="107">
                  <c:v>87.7</c:v>
                </c:pt>
                <c:pt idx="108">
                  <c:v>85.5</c:v>
                </c:pt>
                <c:pt idx="109">
                  <c:v>76.900000000000006</c:v>
                </c:pt>
                <c:pt idx="110">
                  <c:v>82.3</c:v>
                </c:pt>
                <c:pt idx="111">
                  <c:v>78.5</c:v>
                </c:pt>
                <c:pt idx="112">
                  <c:v>79.5</c:v>
                </c:pt>
                <c:pt idx="113">
                  <c:v>73</c:v>
                </c:pt>
                <c:pt idx="114">
                  <c:v>73.900000000000006</c:v>
                </c:pt>
                <c:pt idx="115">
                  <c:v>76.7</c:v>
                </c:pt>
                <c:pt idx="116">
                  <c:v>74.599999999999994</c:v>
                </c:pt>
                <c:pt idx="117">
                  <c:v>73.3</c:v>
                </c:pt>
                <c:pt idx="118">
                  <c:v>66.900000000000006</c:v>
                </c:pt>
                <c:pt idx="119">
                  <c:v>67</c:v>
                </c:pt>
                <c:pt idx="120">
                  <c:v>65.7</c:v>
                </c:pt>
                <c:pt idx="121">
                  <c:v>67</c:v>
                </c:pt>
                <c:pt idx="122">
                  <c:v>65.099999999999994</c:v>
                </c:pt>
                <c:pt idx="123">
                  <c:v>66.2</c:v>
                </c:pt>
                <c:pt idx="124">
                  <c:v>59.9</c:v>
                </c:pt>
                <c:pt idx="125">
                  <c:v>59.1</c:v>
                </c:pt>
                <c:pt idx="126">
                  <c:v>54.8</c:v>
                </c:pt>
                <c:pt idx="127">
                  <c:v>52.8</c:v>
                </c:pt>
                <c:pt idx="128">
                  <c:v>56.2</c:v>
                </c:pt>
                <c:pt idx="129">
                  <c:v>47.4</c:v>
                </c:pt>
                <c:pt idx="130">
                  <c:v>53.5</c:v>
                </c:pt>
                <c:pt idx="131">
                  <c:v>48.5</c:v>
                </c:pt>
                <c:pt idx="132">
                  <c:v>50.2</c:v>
                </c:pt>
                <c:pt idx="133">
                  <c:v>47.2</c:v>
                </c:pt>
                <c:pt idx="134">
                  <c:v>49.6</c:v>
                </c:pt>
                <c:pt idx="135">
                  <c:v>41.3</c:v>
                </c:pt>
                <c:pt idx="136">
                  <c:v>43.2</c:v>
                </c:pt>
                <c:pt idx="137">
                  <c:v>36.9</c:v>
                </c:pt>
                <c:pt idx="138">
                  <c:v>38.5</c:v>
                </c:pt>
                <c:pt idx="139">
                  <c:v>38.299999999999997</c:v>
                </c:pt>
                <c:pt idx="140">
                  <c:v>39.9</c:v>
                </c:pt>
                <c:pt idx="141">
                  <c:v>34</c:v>
                </c:pt>
                <c:pt idx="142">
                  <c:v>33</c:v>
                </c:pt>
                <c:pt idx="143">
                  <c:v>35.299999999999997</c:v>
                </c:pt>
                <c:pt idx="144">
                  <c:v>35.700000000000003</c:v>
                </c:pt>
                <c:pt idx="145">
                  <c:v>27.6</c:v>
                </c:pt>
                <c:pt idx="146">
                  <c:v>30.8</c:v>
                </c:pt>
                <c:pt idx="147">
                  <c:v>27.9</c:v>
                </c:pt>
                <c:pt idx="148">
                  <c:v>29.4</c:v>
                </c:pt>
                <c:pt idx="149">
                  <c:v>27</c:v>
                </c:pt>
                <c:pt idx="150">
                  <c:v>30.3</c:v>
                </c:pt>
                <c:pt idx="151">
                  <c:v>29.8</c:v>
                </c:pt>
                <c:pt idx="152">
                  <c:v>23.2</c:v>
                </c:pt>
                <c:pt idx="153">
                  <c:v>23</c:v>
                </c:pt>
                <c:pt idx="154">
                  <c:v>25.3</c:v>
                </c:pt>
                <c:pt idx="155">
                  <c:v>28.3</c:v>
                </c:pt>
                <c:pt idx="156">
                  <c:v>26.8</c:v>
                </c:pt>
                <c:pt idx="157">
                  <c:v>23.9</c:v>
                </c:pt>
                <c:pt idx="158">
                  <c:v>18.899999999999999</c:v>
                </c:pt>
                <c:pt idx="159">
                  <c:v>22.9</c:v>
                </c:pt>
                <c:pt idx="160">
                  <c:v>24.1</c:v>
                </c:pt>
                <c:pt idx="161">
                  <c:v>25.6</c:v>
                </c:pt>
                <c:pt idx="162">
                  <c:v>23.8</c:v>
                </c:pt>
                <c:pt idx="163">
                  <c:v>23.8</c:v>
                </c:pt>
                <c:pt idx="164">
                  <c:v>21.1</c:v>
                </c:pt>
                <c:pt idx="165">
                  <c:v>14.7</c:v>
                </c:pt>
                <c:pt idx="166">
                  <c:v>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0D-47CE-B016-52EB099C85FA}"/>
            </c:ext>
          </c:extLst>
        </c:ser>
        <c:ser>
          <c:idx val="2"/>
          <c:order val="2"/>
          <c:tx>
            <c:v>Hypoglycemia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adult_007_20251015_152715!$K$168</c:f>
              <c:numCache>
                <c:formatCode>General</c:formatCode>
                <c:ptCount val="1"/>
                <c:pt idx="0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0D-47CE-B016-52EB099C85FA}"/>
            </c:ext>
          </c:extLst>
        </c:ser>
        <c:ser>
          <c:idx val="3"/>
          <c:order val="3"/>
          <c:tx>
            <c:v>Hyperglycemia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adult_007_20251015_152715!$D$168</c:f>
              <c:numCache>
                <c:formatCode>General</c:formatCode>
                <c:ptCount val="1"/>
                <c:pt idx="0">
                  <c:v>186.4</c:v>
                </c:pt>
              </c:numCache>
            </c:numRef>
          </c:xVal>
          <c:yVal>
            <c:numRef>
              <c:f>adult_007_20251015_152715!$L$2:$L$168</c:f>
              <c:numCache>
                <c:formatCode>General</c:formatCode>
                <c:ptCount val="167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180</c:v>
                </c:pt>
                <c:pt idx="43">
                  <c:v>180</c:v>
                </c:pt>
                <c:pt idx="44">
                  <c:v>180</c:v>
                </c:pt>
                <c:pt idx="45">
                  <c:v>180</c:v>
                </c:pt>
                <c:pt idx="46">
                  <c:v>180</c:v>
                </c:pt>
                <c:pt idx="47">
                  <c:v>180</c:v>
                </c:pt>
                <c:pt idx="48">
                  <c:v>180</c:v>
                </c:pt>
                <c:pt idx="49">
                  <c:v>180</c:v>
                </c:pt>
                <c:pt idx="50">
                  <c:v>180</c:v>
                </c:pt>
                <c:pt idx="51">
                  <c:v>180</c:v>
                </c:pt>
                <c:pt idx="52">
                  <c:v>180</c:v>
                </c:pt>
                <c:pt idx="53">
                  <c:v>180</c:v>
                </c:pt>
                <c:pt idx="54">
                  <c:v>180</c:v>
                </c:pt>
                <c:pt idx="55">
                  <c:v>180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180</c:v>
                </c:pt>
                <c:pt idx="60">
                  <c:v>180</c:v>
                </c:pt>
                <c:pt idx="61">
                  <c:v>180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180</c:v>
                </c:pt>
                <c:pt idx="66">
                  <c:v>180</c:v>
                </c:pt>
                <c:pt idx="67">
                  <c:v>180</c:v>
                </c:pt>
                <c:pt idx="68">
                  <c:v>180</c:v>
                </c:pt>
                <c:pt idx="69">
                  <c:v>180</c:v>
                </c:pt>
                <c:pt idx="70">
                  <c:v>180</c:v>
                </c:pt>
                <c:pt idx="71">
                  <c:v>180</c:v>
                </c:pt>
                <c:pt idx="72">
                  <c:v>180</c:v>
                </c:pt>
                <c:pt idx="73">
                  <c:v>180</c:v>
                </c:pt>
                <c:pt idx="74">
                  <c:v>180</c:v>
                </c:pt>
                <c:pt idx="75">
                  <c:v>180</c:v>
                </c:pt>
                <c:pt idx="76">
                  <c:v>180</c:v>
                </c:pt>
                <c:pt idx="77">
                  <c:v>180</c:v>
                </c:pt>
                <c:pt idx="78">
                  <c:v>180</c:v>
                </c:pt>
                <c:pt idx="79">
                  <c:v>180</c:v>
                </c:pt>
                <c:pt idx="80">
                  <c:v>180</c:v>
                </c:pt>
                <c:pt idx="81">
                  <c:v>180</c:v>
                </c:pt>
                <c:pt idx="82">
                  <c:v>180</c:v>
                </c:pt>
                <c:pt idx="83">
                  <c:v>180</c:v>
                </c:pt>
                <c:pt idx="84">
                  <c:v>180</c:v>
                </c:pt>
                <c:pt idx="85">
                  <c:v>180</c:v>
                </c:pt>
                <c:pt idx="86">
                  <c:v>180</c:v>
                </c:pt>
                <c:pt idx="87">
                  <c:v>180</c:v>
                </c:pt>
                <c:pt idx="88">
                  <c:v>180</c:v>
                </c:pt>
                <c:pt idx="89">
                  <c:v>180</c:v>
                </c:pt>
                <c:pt idx="90">
                  <c:v>180</c:v>
                </c:pt>
                <c:pt idx="91">
                  <c:v>180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180</c:v>
                </c:pt>
                <c:pt idx="96">
                  <c:v>180</c:v>
                </c:pt>
                <c:pt idx="97">
                  <c:v>180</c:v>
                </c:pt>
                <c:pt idx="98">
                  <c:v>180</c:v>
                </c:pt>
                <c:pt idx="99">
                  <c:v>180</c:v>
                </c:pt>
                <c:pt idx="100">
                  <c:v>180</c:v>
                </c:pt>
                <c:pt idx="101">
                  <c:v>180</c:v>
                </c:pt>
                <c:pt idx="102">
                  <c:v>180</c:v>
                </c:pt>
                <c:pt idx="103">
                  <c:v>180</c:v>
                </c:pt>
                <c:pt idx="104">
                  <c:v>180</c:v>
                </c:pt>
                <c:pt idx="105">
                  <c:v>180</c:v>
                </c:pt>
                <c:pt idx="106">
                  <c:v>180</c:v>
                </c:pt>
                <c:pt idx="107">
                  <c:v>180</c:v>
                </c:pt>
                <c:pt idx="108">
                  <c:v>180</c:v>
                </c:pt>
                <c:pt idx="109">
                  <c:v>180</c:v>
                </c:pt>
                <c:pt idx="110">
                  <c:v>180</c:v>
                </c:pt>
                <c:pt idx="111">
                  <c:v>180</c:v>
                </c:pt>
                <c:pt idx="112">
                  <c:v>180</c:v>
                </c:pt>
                <c:pt idx="113">
                  <c:v>180</c:v>
                </c:pt>
                <c:pt idx="114">
                  <c:v>180</c:v>
                </c:pt>
                <c:pt idx="115">
                  <c:v>180</c:v>
                </c:pt>
                <c:pt idx="116">
                  <c:v>180</c:v>
                </c:pt>
                <c:pt idx="117">
                  <c:v>180</c:v>
                </c:pt>
                <c:pt idx="118">
                  <c:v>180</c:v>
                </c:pt>
                <c:pt idx="119">
                  <c:v>180</c:v>
                </c:pt>
                <c:pt idx="120">
                  <c:v>180</c:v>
                </c:pt>
                <c:pt idx="121">
                  <c:v>180</c:v>
                </c:pt>
                <c:pt idx="122">
                  <c:v>180</c:v>
                </c:pt>
                <c:pt idx="123">
                  <c:v>180</c:v>
                </c:pt>
                <c:pt idx="124">
                  <c:v>180</c:v>
                </c:pt>
                <c:pt idx="125">
                  <c:v>180</c:v>
                </c:pt>
                <c:pt idx="126">
                  <c:v>180</c:v>
                </c:pt>
                <c:pt idx="127">
                  <c:v>180</c:v>
                </c:pt>
                <c:pt idx="128">
                  <c:v>180</c:v>
                </c:pt>
                <c:pt idx="129">
                  <c:v>180</c:v>
                </c:pt>
                <c:pt idx="130">
                  <c:v>180</c:v>
                </c:pt>
                <c:pt idx="131">
                  <c:v>180</c:v>
                </c:pt>
                <c:pt idx="132">
                  <c:v>180</c:v>
                </c:pt>
                <c:pt idx="133">
                  <c:v>180</c:v>
                </c:pt>
                <c:pt idx="134">
                  <c:v>180</c:v>
                </c:pt>
                <c:pt idx="135">
                  <c:v>180</c:v>
                </c:pt>
                <c:pt idx="136">
                  <c:v>180</c:v>
                </c:pt>
                <c:pt idx="137">
                  <c:v>180</c:v>
                </c:pt>
                <c:pt idx="138">
                  <c:v>180</c:v>
                </c:pt>
                <c:pt idx="139">
                  <c:v>180</c:v>
                </c:pt>
                <c:pt idx="140">
                  <c:v>180</c:v>
                </c:pt>
                <c:pt idx="141">
                  <c:v>180</c:v>
                </c:pt>
                <c:pt idx="142">
                  <c:v>180</c:v>
                </c:pt>
                <c:pt idx="143">
                  <c:v>180</c:v>
                </c:pt>
                <c:pt idx="144">
                  <c:v>180</c:v>
                </c:pt>
                <c:pt idx="145">
                  <c:v>180</c:v>
                </c:pt>
                <c:pt idx="146">
                  <c:v>180</c:v>
                </c:pt>
                <c:pt idx="147">
                  <c:v>180</c:v>
                </c:pt>
                <c:pt idx="148">
                  <c:v>180</c:v>
                </c:pt>
                <c:pt idx="149">
                  <c:v>180</c:v>
                </c:pt>
                <c:pt idx="150">
                  <c:v>180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180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0D-47CE-B016-52EB099C8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452960"/>
        <c:axId val="907454400"/>
      </c:scatterChart>
      <c:valAx>
        <c:axId val="90745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54400"/>
        <c:crosses val="autoZero"/>
        <c:crossBetween val="midCat"/>
      </c:valAx>
      <c:valAx>
        <c:axId val="9074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 Value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5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adult_007_20251015_152715!$G$1</c:f>
              <c:strCache>
                <c:ptCount val="1"/>
                <c:pt idx="0">
                  <c:v>insulin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adult_007_20251015_152715!$G$2:$G$168</c:f>
              <c:numCache>
                <c:formatCode>General</c:formatCode>
                <c:ptCount val="167"/>
                <c:pt idx="0">
                  <c:v>3.3300000000000003E-2</c:v>
                </c:pt>
                <c:pt idx="1">
                  <c:v>3.3300000000000003E-2</c:v>
                </c:pt>
                <c:pt idx="2">
                  <c:v>3.3300000000000003E-2</c:v>
                </c:pt>
                <c:pt idx="3">
                  <c:v>3.3300000000000003E-2</c:v>
                </c:pt>
                <c:pt idx="4">
                  <c:v>3.3300000000000003E-2</c:v>
                </c:pt>
                <c:pt idx="5">
                  <c:v>4.58E-2</c:v>
                </c:pt>
                <c:pt idx="6">
                  <c:v>4.58E-2</c:v>
                </c:pt>
                <c:pt idx="7">
                  <c:v>4.58E-2</c:v>
                </c:pt>
                <c:pt idx="8">
                  <c:v>4.58E-2</c:v>
                </c:pt>
                <c:pt idx="9">
                  <c:v>4.58E-2</c:v>
                </c:pt>
                <c:pt idx="10">
                  <c:v>4.58E-2</c:v>
                </c:pt>
                <c:pt idx="11">
                  <c:v>4.58E-2</c:v>
                </c:pt>
                <c:pt idx="12">
                  <c:v>4.58E-2</c:v>
                </c:pt>
                <c:pt idx="13">
                  <c:v>4.58E-2</c:v>
                </c:pt>
                <c:pt idx="14">
                  <c:v>4.58E-2</c:v>
                </c:pt>
                <c:pt idx="15">
                  <c:v>4.58E-2</c:v>
                </c:pt>
                <c:pt idx="16">
                  <c:v>4.58E-2</c:v>
                </c:pt>
                <c:pt idx="17">
                  <c:v>4.58E-2</c:v>
                </c:pt>
                <c:pt idx="18">
                  <c:v>4.58E-2</c:v>
                </c:pt>
                <c:pt idx="19">
                  <c:v>4.58E-2</c:v>
                </c:pt>
                <c:pt idx="20">
                  <c:v>5.7500000000000002E-2</c:v>
                </c:pt>
                <c:pt idx="21">
                  <c:v>5.7500000000000002E-2</c:v>
                </c:pt>
                <c:pt idx="22">
                  <c:v>5.7500000000000002E-2</c:v>
                </c:pt>
                <c:pt idx="23">
                  <c:v>5.7500000000000002E-2</c:v>
                </c:pt>
                <c:pt idx="24">
                  <c:v>5.7500000000000002E-2</c:v>
                </c:pt>
                <c:pt idx="25">
                  <c:v>5.7500000000000002E-2</c:v>
                </c:pt>
                <c:pt idx="26">
                  <c:v>5.7500000000000002E-2</c:v>
                </c:pt>
                <c:pt idx="27">
                  <c:v>5.7500000000000002E-2</c:v>
                </c:pt>
                <c:pt idx="28">
                  <c:v>5.7500000000000002E-2</c:v>
                </c:pt>
                <c:pt idx="29">
                  <c:v>5.7500000000000002E-2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5.8299999999999998E-2</c:v>
                </c:pt>
                <c:pt idx="36">
                  <c:v>5.8299999999999998E-2</c:v>
                </c:pt>
                <c:pt idx="37">
                  <c:v>5.8299999999999998E-2</c:v>
                </c:pt>
                <c:pt idx="38">
                  <c:v>5.8299999999999998E-2</c:v>
                </c:pt>
                <c:pt idx="39">
                  <c:v>5.8299999999999998E-2</c:v>
                </c:pt>
                <c:pt idx="40">
                  <c:v>5.8299999999999998E-2</c:v>
                </c:pt>
                <c:pt idx="41">
                  <c:v>5.8299999999999998E-2</c:v>
                </c:pt>
                <c:pt idx="42">
                  <c:v>5.8299999999999998E-2</c:v>
                </c:pt>
                <c:pt idx="43">
                  <c:v>5.8299999999999998E-2</c:v>
                </c:pt>
                <c:pt idx="44">
                  <c:v>5.8299999999999998E-2</c:v>
                </c:pt>
                <c:pt idx="45">
                  <c:v>5.8299999999999998E-2</c:v>
                </c:pt>
                <c:pt idx="46">
                  <c:v>5.8299999999999998E-2</c:v>
                </c:pt>
                <c:pt idx="47">
                  <c:v>5.8299999999999998E-2</c:v>
                </c:pt>
                <c:pt idx="48">
                  <c:v>5.8299999999999998E-2</c:v>
                </c:pt>
                <c:pt idx="49">
                  <c:v>5.8299999999999998E-2</c:v>
                </c:pt>
                <c:pt idx="50">
                  <c:v>5.8299999999999998E-2</c:v>
                </c:pt>
                <c:pt idx="51">
                  <c:v>5.8299999999999998E-2</c:v>
                </c:pt>
                <c:pt idx="52">
                  <c:v>5.8299999999999998E-2</c:v>
                </c:pt>
                <c:pt idx="53">
                  <c:v>5.8299999999999998E-2</c:v>
                </c:pt>
                <c:pt idx="54">
                  <c:v>5.8299999999999998E-2</c:v>
                </c:pt>
                <c:pt idx="55">
                  <c:v>5.8299999999999998E-2</c:v>
                </c:pt>
                <c:pt idx="56">
                  <c:v>5.8299999999999998E-2</c:v>
                </c:pt>
                <c:pt idx="57">
                  <c:v>5.8299999999999998E-2</c:v>
                </c:pt>
                <c:pt idx="58">
                  <c:v>5.8299999999999998E-2</c:v>
                </c:pt>
                <c:pt idx="59">
                  <c:v>5.8299999999999998E-2</c:v>
                </c:pt>
                <c:pt idx="60">
                  <c:v>5.8299999999999998E-2</c:v>
                </c:pt>
                <c:pt idx="61">
                  <c:v>5.8299999999999998E-2</c:v>
                </c:pt>
                <c:pt idx="62">
                  <c:v>5.8299999999999998E-2</c:v>
                </c:pt>
                <c:pt idx="63">
                  <c:v>5.8299999999999998E-2</c:v>
                </c:pt>
                <c:pt idx="64">
                  <c:v>5.8299999999999998E-2</c:v>
                </c:pt>
                <c:pt idx="65">
                  <c:v>5.8299999999999998E-2</c:v>
                </c:pt>
                <c:pt idx="66">
                  <c:v>5.8299999999999998E-2</c:v>
                </c:pt>
                <c:pt idx="67">
                  <c:v>5.8299999999999998E-2</c:v>
                </c:pt>
                <c:pt idx="68">
                  <c:v>5.8299999999999998E-2</c:v>
                </c:pt>
                <c:pt idx="69">
                  <c:v>5.8299999999999998E-2</c:v>
                </c:pt>
                <c:pt idx="70">
                  <c:v>5.8299999999999998E-2</c:v>
                </c:pt>
                <c:pt idx="71">
                  <c:v>5.8299999999999998E-2</c:v>
                </c:pt>
                <c:pt idx="72">
                  <c:v>5.8299999999999998E-2</c:v>
                </c:pt>
                <c:pt idx="73">
                  <c:v>5.8299999999999998E-2</c:v>
                </c:pt>
                <c:pt idx="74">
                  <c:v>5.8299999999999998E-2</c:v>
                </c:pt>
                <c:pt idx="75">
                  <c:v>5.8299999999999998E-2</c:v>
                </c:pt>
                <c:pt idx="76">
                  <c:v>5.8299999999999998E-2</c:v>
                </c:pt>
                <c:pt idx="77">
                  <c:v>5.8299999999999998E-2</c:v>
                </c:pt>
                <c:pt idx="78">
                  <c:v>5.8299999999999998E-2</c:v>
                </c:pt>
                <c:pt idx="79">
                  <c:v>5.8299999999999998E-2</c:v>
                </c:pt>
                <c:pt idx="80">
                  <c:v>5.8299999999999998E-2</c:v>
                </c:pt>
                <c:pt idx="81">
                  <c:v>5.8299999999999998E-2</c:v>
                </c:pt>
                <c:pt idx="82">
                  <c:v>5.8299999999999998E-2</c:v>
                </c:pt>
                <c:pt idx="83">
                  <c:v>5.8299999999999998E-2</c:v>
                </c:pt>
                <c:pt idx="84">
                  <c:v>5.8299999999999998E-2</c:v>
                </c:pt>
                <c:pt idx="85">
                  <c:v>5.8299999999999998E-2</c:v>
                </c:pt>
                <c:pt idx="86">
                  <c:v>5.8299999999999998E-2</c:v>
                </c:pt>
                <c:pt idx="87">
                  <c:v>5.8299999999999998E-2</c:v>
                </c:pt>
                <c:pt idx="88">
                  <c:v>5.8299999999999998E-2</c:v>
                </c:pt>
                <c:pt idx="89">
                  <c:v>5.8299999999999998E-2</c:v>
                </c:pt>
                <c:pt idx="90">
                  <c:v>5.8299999999999998E-2</c:v>
                </c:pt>
                <c:pt idx="91">
                  <c:v>5.8299999999999998E-2</c:v>
                </c:pt>
                <c:pt idx="92">
                  <c:v>5.8299999999999998E-2</c:v>
                </c:pt>
                <c:pt idx="93">
                  <c:v>5.8299999999999998E-2</c:v>
                </c:pt>
                <c:pt idx="94">
                  <c:v>5.8299999999999998E-2</c:v>
                </c:pt>
                <c:pt idx="95">
                  <c:v>5.8299999999999998E-2</c:v>
                </c:pt>
                <c:pt idx="96">
                  <c:v>5.8299999999999998E-2</c:v>
                </c:pt>
                <c:pt idx="97">
                  <c:v>5.8299999999999998E-2</c:v>
                </c:pt>
                <c:pt idx="98">
                  <c:v>5.8299999999999998E-2</c:v>
                </c:pt>
                <c:pt idx="99">
                  <c:v>5.8299999999999998E-2</c:v>
                </c:pt>
                <c:pt idx="100">
                  <c:v>5.8299999999999998E-2</c:v>
                </c:pt>
                <c:pt idx="101">
                  <c:v>5.8299999999999998E-2</c:v>
                </c:pt>
                <c:pt idx="102">
                  <c:v>5.8299999999999998E-2</c:v>
                </c:pt>
                <c:pt idx="103">
                  <c:v>5.8299999999999998E-2</c:v>
                </c:pt>
                <c:pt idx="104">
                  <c:v>5.8299999999999998E-2</c:v>
                </c:pt>
                <c:pt idx="105">
                  <c:v>4.4200000000000003E-2</c:v>
                </c:pt>
                <c:pt idx="106">
                  <c:v>4.4200000000000003E-2</c:v>
                </c:pt>
                <c:pt idx="107">
                  <c:v>4.4200000000000003E-2</c:v>
                </c:pt>
                <c:pt idx="108">
                  <c:v>4.4200000000000003E-2</c:v>
                </c:pt>
                <c:pt idx="109">
                  <c:v>4.4200000000000003E-2</c:v>
                </c:pt>
                <c:pt idx="110">
                  <c:v>4.4200000000000003E-2</c:v>
                </c:pt>
                <c:pt idx="111">
                  <c:v>4.4200000000000003E-2</c:v>
                </c:pt>
                <c:pt idx="112">
                  <c:v>4.4200000000000003E-2</c:v>
                </c:pt>
                <c:pt idx="113">
                  <c:v>4.4200000000000003E-2</c:v>
                </c:pt>
                <c:pt idx="114">
                  <c:v>4.4200000000000003E-2</c:v>
                </c:pt>
                <c:pt idx="115">
                  <c:v>4.4200000000000003E-2</c:v>
                </c:pt>
                <c:pt idx="116">
                  <c:v>4.4200000000000003E-2</c:v>
                </c:pt>
                <c:pt idx="117">
                  <c:v>4.4200000000000003E-2</c:v>
                </c:pt>
                <c:pt idx="118">
                  <c:v>4.4200000000000003E-2</c:v>
                </c:pt>
                <c:pt idx="119">
                  <c:v>4.4200000000000003E-2</c:v>
                </c:pt>
                <c:pt idx="120">
                  <c:v>2.0799999999999999E-2</c:v>
                </c:pt>
                <c:pt idx="121">
                  <c:v>2.0799999999999999E-2</c:v>
                </c:pt>
                <c:pt idx="122">
                  <c:v>2.0799999999999999E-2</c:v>
                </c:pt>
                <c:pt idx="123">
                  <c:v>2.0799999999999999E-2</c:v>
                </c:pt>
                <c:pt idx="124">
                  <c:v>2.0799999999999999E-2</c:v>
                </c:pt>
                <c:pt idx="125">
                  <c:v>2.0799999999999999E-2</c:v>
                </c:pt>
                <c:pt idx="126">
                  <c:v>2.0799999999999999E-2</c:v>
                </c:pt>
                <c:pt idx="127">
                  <c:v>2.0799999999999999E-2</c:v>
                </c:pt>
                <c:pt idx="128">
                  <c:v>2.0799999999999999E-2</c:v>
                </c:pt>
                <c:pt idx="129">
                  <c:v>2.0799999999999999E-2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0-459B-AB77-D04254205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452960"/>
        <c:axId val="907454400"/>
      </c:scatterChart>
      <c:valAx>
        <c:axId val="90745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54400"/>
        <c:crosses val="autoZero"/>
        <c:crossBetween val="midCat"/>
      </c:valAx>
      <c:valAx>
        <c:axId val="9074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 Value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5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adult_007_20251015_152715!$E$1</c:f>
              <c:strCache>
                <c:ptCount val="1"/>
                <c:pt idx="0">
                  <c:v>CGM Reading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adult_007_20251015_152715!$E$2:$E$168</c:f>
              <c:numCache>
                <c:formatCode>General</c:formatCode>
                <c:ptCount val="167"/>
                <c:pt idx="0">
                  <c:v>122.4</c:v>
                </c:pt>
                <c:pt idx="1">
                  <c:v>125.8</c:v>
                </c:pt>
                <c:pt idx="2">
                  <c:v>126.9</c:v>
                </c:pt>
                <c:pt idx="3">
                  <c:v>127.4</c:v>
                </c:pt>
                <c:pt idx="4">
                  <c:v>128.30000000000001</c:v>
                </c:pt>
                <c:pt idx="5">
                  <c:v>129.4</c:v>
                </c:pt>
                <c:pt idx="6">
                  <c:v>128.9</c:v>
                </c:pt>
                <c:pt idx="7">
                  <c:v>128.30000000000001</c:v>
                </c:pt>
                <c:pt idx="8">
                  <c:v>128.5</c:v>
                </c:pt>
                <c:pt idx="9">
                  <c:v>130.5</c:v>
                </c:pt>
                <c:pt idx="10">
                  <c:v>132.5</c:v>
                </c:pt>
                <c:pt idx="11">
                  <c:v>134.5</c:v>
                </c:pt>
                <c:pt idx="12">
                  <c:v>136.4</c:v>
                </c:pt>
                <c:pt idx="13">
                  <c:v>138.4</c:v>
                </c:pt>
                <c:pt idx="14">
                  <c:v>131.19999999999999</c:v>
                </c:pt>
                <c:pt idx="15">
                  <c:v>144.5</c:v>
                </c:pt>
                <c:pt idx="16">
                  <c:v>146.5</c:v>
                </c:pt>
                <c:pt idx="17">
                  <c:v>148.5</c:v>
                </c:pt>
                <c:pt idx="18">
                  <c:v>150.5</c:v>
                </c:pt>
                <c:pt idx="19">
                  <c:v>152.5</c:v>
                </c:pt>
                <c:pt idx="20">
                  <c:v>154.4</c:v>
                </c:pt>
                <c:pt idx="21">
                  <c:v>156.4</c:v>
                </c:pt>
                <c:pt idx="22">
                  <c:v>158.6</c:v>
                </c:pt>
                <c:pt idx="23">
                  <c:v>160.6</c:v>
                </c:pt>
                <c:pt idx="24">
                  <c:v>162.5</c:v>
                </c:pt>
                <c:pt idx="25">
                  <c:v>164.5</c:v>
                </c:pt>
                <c:pt idx="26">
                  <c:v>166.5</c:v>
                </c:pt>
                <c:pt idx="27">
                  <c:v>132.80000000000001</c:v>
                </c:pt>
                <c:pt idx="28">
                  <c:v>170.5</c:v>
                </c:pt>
                <c:pt idx="29">
                  <c:v>172.4</c:v>
                </c:pt>
                <c:pt idx="30">
                  <c:v>135.19999999999999</c:v>
                </c:pt>
                <c:pt idx="31">
                  <c:v>178.6</c:v>
                </c:pt>
                <c:pt idx="32">
                  <c:v>180.5</c:v>
                </c:pt>
                <c:pt idx="33">
                  <c:v>182.5</c:v>
                </c:pt>
                <c:pt idx="34">
                  <c:v>184.5</c:v>
                </c:pt>
                <c:pt idx="35">
                  <c:v>186.5</c:v>
                </c:pt>
                <c:pt idx="36">
                  <c:v>188.5</c:v>
                </c:pt>
                <c:pt idx="37">
                  <c:v>190.4</c:v>
                </c:pt>
                <c:pt idx="38">
                  <c:v>192.4</c:v>
                </c:pt>
                <c:pt idx="39">
                  <c:v>194.6</c:v>
                </c:pt>
                <c:pt idx="40">
                  <c:v>196.6</c:v>
                </c:pt>
                <c:pt idx="41">
                  <c:v>198.5</c:v>
                </c:pt>
                <c:pt idx="42">
                  <c:v>200.5</c:v>
                </c:pt>
                <c:pt idx="43">
                  <c:v>202.5</c:v>
                </c:pt>
                <c:pt idx="44">
                  <c:v>204.5</c:v>
                </c:pt>
                <c:pt idx="45">
                  <c:v>206.5</c:v>
                </c:pt>
                <c:pt idx="46">
                  <c:v>208.4</c:v>
                </c:pt>
                <c:pt idx="47">
                  <c:v>131.6</c:v>
                </c:pt>
                <c:pt idx="48">
                  <c:v>212.6</c:v>
                </c:pt>
                <c:pt idx="49">
                  <c:v>214.6</c:v>
                </c:pt>
                <c:pt idx="50">
                  <c:v>216.5</c:v>
                </c:pt>
                <c:pt idx="51">
                  <c:v>218.5</c:v>
                </c:pt>
                <c:pt idx="52">
                  <c:v>220.5</c:v>
                </c:pt>
                <c:pt idx="53">
                  <c:v>222.5</c:v>
                </c:pt>
                <c:pt idx="54">
                  <c:v>224.5</c:v>
                </c:pt>
                <c:pt idx="55">
                  <c:v>226.4</c:v>
                </c:pt>
                <c:pt idx="56">
                  <c:v>230.6</c:v>
                </c:pt>
                <c:pt idx="57">
                  <c:v>232.6</c:v>
                </c:pt>
                <c:pt idx="58">
                  <c:v>234.5</c:v>
                </c:pt>
                <c:pt idx="59">
                  <c:v>236.5</c:v>
                </c:pt>
                <c:pt idx="60">
                  <c:v>238.5</c:v>
                </c:pt>
                <c:pt idx="61">
                  <c:v>240.5</c:v>
                </c:pt>
                <c:pt idx="62">
                  <c:v>242.5</c:v>
                </c:pt>
                <c:pt idx="63">
                  <c:v>244.4</c:v>
                </c:pt>
                <c:pt idx="64">
                  <c:v>246.4</c:v>
                </c:pt>
                <c:pt idx="65">
                  <c:v>248.6</c:v>
                </c:pt>
                <c:pt idx="66">
                  <c:v>250.6</c:v>
                </c:pt>
                <c:pt idx="67">
                  <c:v>252.5</c:v>
                </c:pt>
                <c:pt idx="68">
                  <c:v>254.5</c:v>
                </c:pt>
                <c:pt idx="69">
                  <c:v>256.5</c:v>
                </c:pt>
                <c:pt idx="70">
                  <c:v>258.5</c:v>
                </c:pt>
                <c:pt idx="71">
                  <c:v>260.5</c:v>
                </c:pt>
                <c:pt idx="72">
                  <c:v>262.39999999999998</c:v>
                </c:pt>
                <c:pt idx="73">
                  <c:v>264.39999999999998</c:v>
                </c:pt>
                <c:pt idx="74">
                  <c:v>266.60000000000002</c:v>
                </c:pt>
                <c:pt idx="75">
                  <c:v>268.60000000000002</c:v>
                </c:pt>
                <c:pt idx="76">
                  <c:v>270.5</c:v>
                </c:pt>
                <c:pt idx="77">
                  <c:v>272.5</c:v>
                </c:pt>
                <c:pt idx="78">
                  <c:v>276.5</c:v>
                </c:pt>
                <c:pt idx="79">
                  <c:v>278.5</c:v>
                </c:pt>
                <c:pt idx="80">
                  <c:v>280.39999999999998</c:v>
                </c:pt>
                <c:pt idx="81">
                  <c:v>282.39999999999998</c:v>
                </c:pt>
                <c:pt idx="82">
                  <c:v>284.60000000000002</c:v>
                </c:pt>
                <c:pt idx="83">
                  <c:v>286.60000000000002</c:v>
                </c:pt>
                <c:pt idx="84">
                  <c:v>288.5</c:v>
                </c:pt>
                <c:pt idx="85">
                  <c:v>290.5</c:v>
                </c:pt>
                <c:pt idx="86">
                  <c:v>292.5</c:v>
                </c:pt>
                <c:pt idx="87">
                  <c:v>110.9</c:v>
                </c:pt>
                <c:pt idx="88">
                  <c:v>296.5</c:v>
                </c:pt>
                <c:pt idx="89">
                  <c:v>298.39999999999998</c:v>
                </c:pt>
                <c:pt idx="90">
                  <c:v>300.10000000000002</c:v>
                </c:pt>
                <c:pt idx="91">
                  <c:v>300.10000000000002</c:v>
                </c:pt>
                <c:pt idx="92">
                  <c:v>300.10000000000002</c:v>
                </c:pt>
                <c:pt idx="93">
                  <c:v>300.10000000000002</c:v>
                </c:pt>
                <c:pt idx="94">
                  <c:v>300.10000000000002</c:v>
                </c:pt>
                <c:pt idx="95">
                  <c:v>300.10000000000002</c:v>
                </c:pt>
                <c:pt idx="96">
                  <c:v>300.10000000000002</c:v>
                </c:pt>
                <c:pt idx="97">
                  <c:v>300.10000000000002</c:v>
                </c:pt>
                <c:pt idx="98">
                  <c:v>300.10000000000002</c:v>
                </c:pt>
                <c:pt idx="99">
                  <c:v>300.10000000000002</c:v>
                </c:pt>
                <c:pt idx="100">
                  <c:v>300.10000000000002</c:v>
                </c:pt>
                <c:pt idx="101">
                  <c:v>300.10000000000002</c:v>
                </c:pt>
                <c:pt idx="102">
                  <c:v>300.10000000000002</c:v>
                </c:pt>
                <c:pt idx="103">
                  <c:v>300.10000000000002</c:v>
                </c:pt>
                <c:pt idx="104">
                  <c:v>300.10000000000002</c:v>
                </c:pt>
                <c:pt idx="105">
                  <c:v>300.10000000000002</c:v>
                </c:pt>
                <c:pt idx="106">
                  <c:v>300.10000000000002</c:v>
                </c:pt>
                <c:pt idx="107">
                  <c:v>300.10000000000002</c:v>
                </c:pt>
                <c:pt idx="108">
                  <c:v>300.10000000000002</c:v>
                </c:pt>
                <c:pt idx="109">
                  <c:v>300.10000000000002</c:v>
                </c:pt>
                <c:pt idx="110">
                  <c:v>300.10000000000002</c:v>
                </c:pt>
                <c:pt idx="111">
                  <c:v>300.10000000000002</c:v>
                </c:pt>
                <c:pt idx="112">
                  <c:v>300.10000000000002</c:v>
                </c:pt>
                <c:pt idx="113">
                  <c:v>300.10000000000002</c:v>
                </c:pt>
                <c:pt idx="114">
                  <c:v>300.10000000000002</c:v>
                </c:pt>
                <c:pt idx="115">
                  <c:v>300.10000000000002</c:v>
                </c:pt>
                <c:pt idx="116">
                  <c:v>300.10000000000002</c:v>
                </c:pt>
                <c:pt idx="117">
                  <c:v>300.10000000000002</c:v>
                </c:pt>
                <c:pt idx="118">
                  <c:v>300.10000000000002</c:v>
                </c:pt>
                <c:pt idx="119">
                  <c:v>300.10000000000002</c:v>
                </c:pt>
                <c:pt idx="120">
                  <c:v>300.10000000000002</c:v>
                </c:pt>
                <c:pt idx="121">
                  <c:v>300.10000000000002</c:v>
                </c:pt>
                <c:pt idx="122">
                  <c:v>300.10000000000002</c:v>
                </c:pt>
                <c:pt idx="123">
                  <c:v>300.10000000000002</c:v>
                </c:pt>
                <c:pt idx="124">
                  <c:v>300.10000000000002</c:v>
                </c:pt>
                <c:pt idx="125">
                  <c:v>300.10000000000002</c:v>
                </c:pt>
                <c:pt idx="126">
                  <c:v>300.10000000000002</c:v>
                </c:pt>
                <c:pt idx="127">
                  <c:v>300.10000000000002</c:v>
                </c:pt>
                <c:pt idx="128">
                  <c:v>300.10000000000002</c:v>
                </c:pt>
                <c:pt idx="129">
                  <c:v>59.6</c:v>
                </c:pt>
                <c:pt idx="130">
                  <c:v>55.6</c:v>
                </c:pt>
                <c:pt idx="131">
                  <c:v>52</c:v>
                </c:pt>
                <c:pt idx="132">
                  <c:v>47</c:v>
                </c:pt>
                <c:pt idx="133">
                  <c:v>45.2</c:v>
                </c:pt>
                <c:pt idx="134">
                  <c:v>43.4</c:v>
                </c:pt>
                <c:pt idx="135">
                  <c:v>42.1</c:v>
                </c:pt>
                <c:pt idx="136">
                  <c:v>40.700000000000003</c:v>
                </c:pt>
                <c:pt idx="137">
                  <c:v>40</c:v>
                </c:pt>
                <c:pt idx="138">
                  <c:v>39.200000000000003</c:v>
                </c:pt>
                <c:pt idx="139">
                  <c:v>34.700000000000003</c:v>
                </c:pt>
                <c:pt idx="140">
                  <c:v>31.5</c:v>
                </c:pt>
                <c:pt idx="141">
                  <c:v>29.2</c:v>
                </c:pt>
                <c:pt idx="142">
                  <c:v>27.5</c:v>
                </c:pt>
                <c:pt idx="143">
                  <c:v>26.6</c:v>
                </c:pt>
                <c:pt idx="144">
                  <c:v>25.6</c:v>
                </c:pt>
                <c:pt idx="145">
                  <c:v>23</c:v>
                </c:pt>
                <c:pt idx="146">
                  <c:v>21.2</c:v>
                </c:pt>
                <c:pt idx="147">
                  <c:v>19.100000000000001</c:v>
                </c:pt>
                <c:pt idx="148">
                  <c:v>16.899999999999999</c:v>
                </c:pt>
                <c:pt idx="149">
                  <c:v>14.8</c:v>
                </c:pt>
                <c:pt idx="150">
                  <c:v>13</c:v>
                </c:pt>
                <c:pt idx="151">
                  <c:v>11.5</c:v>
                </c:pt>
                <c:pt idx="152">
                  <c:v>10.6</c:v>
                </c:pt>
                <c:pt idx="153">
                  <c:v>9.9</c:v>
                </c:pt>
                <c:pt idx="154">
                  <c:v>9.9</c:v>
                </c:pt>
                <c:pt idx="155">
                  <c:v>8.1</c:v>
                </c:pt>
                <c:pt idx="156">
                  <c:v>6.5</c:v>
                </c:pt>
                <c:pt idx="157">
                  <c:v>5.4</c:v>
                </c:pt>
                <c:pt idx="158">
                  <c:v>6.1</c:v>
                </c:pt>
                <c:pt idx="159">
                  <c:v>6.8</c:v>
                </c:pt>
                <c:pt idx="160">
                  <c:v>6.3</c:v>
                </c:pt>
                <c:pt idx="161">
                  <c:v>5.2</c:v>
                </c:pt>
                <c:pt idx="162">
                  <c:v>3.4</c:v>
                </c:pt>
                <c:pt idx="163">
                  <c:v>2.2999999999999998</c:v>
                </c:pt>
                <c:pt idx="164">
                  <c:v>2.2999999999999998</c:v>
                </c:pt>
                <c:pt idx="165">
                  <c:v>2.9</c:v>
                </c:pt>
                <c:pt idx="166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4E-450E-ACE3-871B904F4B6D}"/>
            </c:ext>
          </c:extLst>
        </c:ser>
        <c:ser>
          <c:idx val="1"/>
          <c:order val="1"/>
          <c:tx>
            <c:strRef>
              <c:f>adult_007_20251015_152715!$F$1</c:f>
              <c:strCache>
                <c:ptCount val="1"/>
                <c:pt idx="0">
                  <c:v>Virtual Patient Glucose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adult_007_20251015_152715!$F$2:$F$168</c:f>
              <c:numCache>
                <c:formatCode>General</c:formatCode>
                <c:ptCount val="167"/>
                <c:pt idx="0">
                  <c:v>118.5</c:v>
                </c:pt>
                <c:pt idx="1">
                  <c:v>123.4</c:v>
                </c:pt>
                <c:pt idx="2">
                  <c:v>123</c:v>
                </c:pt>
                <c:pt idx="3">
                  <c:v>117.5</c:v>
                </c:pt>
                <c:pt idx="4">
                  <c:v>117.8</c:v>
                </c:pt>
                <c:pt idx="5">
                  <c:v>119.5</c:v>
                </c:pt>
                <c:pt idx="6">
                  <c:v>121.3</c:v>
                </c:pt>
                <c:pt idx="7">
                  <c:v>123.4</c:v>
                </c:pt>
                <c:pt idx="8">
                  <c:v>124.4</c:v>
                </c:pt>
                <c:pt idx="9">
                  <c:v>119.9</c:v>
                </c:pt>
                <c:pt idx="10">
                  <c:v>117.5</c:v>
                </c:pt>
                <c:pt idx="11">
                  <c:v>122</c:v>
                </c:pt>
                <c:pt idx="12">
                  <c:v>123.8</c:v>
                </c:pt>
                <c:pt idx="13">
                  <c:v>124.2</c:v>
                </c:pt>
                <c:pt idx="14">
                  <c:v>122.4</c:v>
                </c:pt>
                <c:pt idx="15">
                  <c:v>115.7</c:v>
                </c:pt>
                <c:pt idx="16">
                  <c:v>123.8</c:v>
                </c:pt>
                <c:pt idx="17">
                  <c:v>124</c:v>
                </c:pt>
                <c:pt idx="18">
                  <c:v>116.9</c:v>
                </c:pt>
                <c:pt idx="19">
                  <c:v>123.7</c:v>
                </c:pt>
                <c:pt idx="20">
                  <c:v>123.3</c:v>
                </c:pt>
                <c:pt idx="21">
                  <c:v>119.9</c:v>
                </c:pt>
                <c:pt idx="22">
                  <c:v>114.8</c:v>
                </c:pt>
                <c:pt idx="23">
                  <c:v>122.5</c:v>
                </c:pt>
                <c:pt idx="24">
                  <c:v>121.5</c:v>
                </c:pt>
                <c:pt idx="25">
                  <c:v>124</c:v>
                </c:pt>
                <c:pt idx="26">
                  <c:v>123.1</c:v>
                </c:pt>
                <c:pt idx="27">
                  <c:v>120.6</c:v>
                </c:pt>
                <c:pt idx="28">
                  <c:v>118.2</c:v>
                </c:pt>
                <c:pt idx="29">
                  <c:v>118</c:v>
                </c:pt>
                <c:pt idx="30">
                  <c:v>116.5</c:v>
                </c:pt>
                <c:pt idx="31">
                  <c:v>117.9</c:v>
                </c:pt>
                <c:pt idx="32">
                  <c:v>117.6</c:v>
                </c:pt>
                <c:pt idx="33">
                  <c:v>123.6</c:v>
                </c:pt>
                <c:pt idx="34">
                  <c:v>117.4</c:v>
                </c:pt>
                <c:pt idx="35">
                  <c:v>119.8</c:v>
                </c:pt>
                <c:pt idx="36">
                  <c:v>120.9</c:v>
                </c:pt>
                <c:pt idx="37">
                  <c:v>114.9</c:v>
                </c:pt>
                <c:pt idx="38">
                  <c:v>116.7</c:v>
                </c:pt>
                <c:pt idx="39">
                  <c:v>120.3</c:v>
                </c:pt>
                <c:pt idx="40">
                  <c:v>121.8</c:v>
                </c:pt>
                <c:pt idx="41">
                  <c:v>119.8</c:v>
                </c:pt>
                <c:pt idx="42">
                  <c:v>118.6</c:v>
                </c:pt>
                <c:pt idx="43">
                  <c:v>120.4</c:v>
                </c:pt>
                <c:pt idx="44">
                  <c:v>113.8</c:v>
                </c:pt>
                <c:pt idx="45">
                  <c:v>115.7</c:v>
                </c:pt>
                <c:pt idx="46">
                  <c:v>113.1</c:v>
                </c:pt>
                <c:pt idx="47">
                  <c:v>118.5</c:v>
                </c:pt>
                <c:pt idx="48">
                  <c:v>119.8</c:v>
                </c:pt>
                <c:pt idx="49">
                  <c:v>115.1</c:v>
                </c:pt>
                <c:pt idx="50">
                  <c:v>113.3</c:v>
                </c:pt>
                <c:pt idx="51">
                  <c:v>118.1</c:v>
                </c:pt>
                <c:pt idx="52">
                  <c:v>120.5</c:v>
                </c:pt>
                <c:pt idx="53">
                  <c:v>115.3</c:v>
                </c:pt>
                <c:pt idx="54">
                  <c:v>120</c:v>
                </c:pt>
                <c:pt idx="55">
                  <c:v>118.3</c:v>
                </c:pt>
                <c:pt idx="56">
                  <c:v>114.3</c:v>
                </c:pt>
                <c:pt idx="57">
                  <c:v>118.1</c:v>
                </c:pt>
                <c:pt idx="58">
                  <c:v>112.8</c:v>
                </c:pt>
                <c:pt idx="59">
                  <c:v>112.3</c:v>
                </c:pt>
                <c:pt idx="60">
                  <c:v>119.4</c:v>
                </c:pt>
                <c:pt idx="61">
                  <c:v>118.4</c:v>
                </c:pt>
                <c:pt idx="62">
                  <c:v>112.5</c:v>
                </c:pt>
                <c:pt idx="63">
                  <c:v>108.5</c:v>
                </c:pt>
                <c:pt idx="64">
                  <c:v>116.5</c:v>
                </c:pt>
                <c:pt idx="65">
                  <c:v>110.6</c:v>
                </c:pt>
                <c:pt idx="66">
                  <c:v>108.4</c:v>
                </c:pt>
                <c:pt idx="67">
                  <c:v>115.9</c:v>
                </c:pt>
                <c:pt idx="68">
                  <c:v>114.3</c:v>
                </c:pt>
                <c:pt idx="69">
                  <c:v>113.9</c:v>
                </c:pt>
                <c:pt idx="70">
                  <c:v>108.5</c:v>
                </c:pt>
                <c:pt idx="71">
                  <c:v>106.9</c:v>
                </c:pt>
                <c:pt idx="72">
                  <c:v>111.1</c:v>
                </c:pt>
                <c:pt idx="73">
                  <c:v>106.5</c:v>
                </c:pt>
                <c:pt idx="74">
                  <c:v>112.5</c:v>
                </c:pt>
                <c:pt idx="75">
                  <c:v>103.4</c:v>
                </c:pt>
                <c:pt idx="76">
                  <c:v>105.2</c:v>
                </c:pt>
                <c:pt idx="77">
                  <c:v>111.9</c:v>
                </c:pt>
                <c:pt idx="78">
                  <c:v>103.2</c:v>
                </c:pt>
                <c:pt idx="79">
                  <c:v>105.3</c:v>
                </c:pt>
                <c:pt idx="80">
                  <c:v>107.2</c:v>
                </c:pt>
                <c:pt idx="81">
                  <c:v>103.1</c:v>
                </c:pt>
                <c:pt idx="82">
                  <c:v>105.9</c:v>
                </c:pt>
                <c:pt idx="83">
                  <c:v>101.8</c:v>
                </c:pt>
                <c:pt idx="84">
                  <c:v>105</c:v>
                </c:pt>
                <c:pt idx="85">
                  <c:v>104</c:v>
                </c:pt>
                <c:pt idx="86">
                  <c:v>100.9</c:v>
                </c:pt>
                <c:pt idx="87">
                  <c:v>104.5</c:v>
                </c:pt>
                <c:pt idx="88">
                  <c:v>97.8</c:v>
                </c:pt>
                <c:pt idx="89">
                  <c:v>104.5</c:v>
                </c:pt>
                <c:pt idx="90">
                  <c:v>98.6</c:v>
                </c:pt>
                <c:pt idx="91">
                  <c:v>102.7</c:v>
                </c:pt>
                <c:pt idx="92">
                  <c:v>96.9</c:v>
                </c:pt>
                <c:pt idx="93">
                  <c:v>93.5</c:v>
                </c:pt>
                <c:pt idx="94">
                  <c:v>92.7</c:v>
                </c:pt>
                <c:pt idx="95">
                  <c:v>94.7</c:v>
                </c:pt>
                <c:pt idx="96">
                  <c:v>96.1</c:v>
                </c:pt>
                <c:pt idx="97">
                  <c:v>92.9</c:v>
                </c:pt>
                <c:pt idx="98">
                  <c:v>96.8</c:v>
                </c:pt>
                <c:pt idx="99">
                  <c:v>93.4</c:v>
                </c:pt>
                <c:pt idx="100">
                  <c:v>95.1</c:v>
                </c:pt>
                <c:pt idx="101">
                  <c:v>92.5</c:v>
                </c:pt>
                <c:pt idx="102">
                  <c:v>89</c:v>
                </c:pt>
                <c:pt idx="103">
                  <c:v>88.4</c:v>
                </c:pt>
                <c:pt idx="104">
                  <c:v>90.3</c:v>
                </c:pt>
                <c:pt idx="105">
                  <c:v>80.900000000000006</c:v>
                </c:pt>
                <c:pt idx="106">
                  <c:v>88</c:v>
                </c:pt>
                <c:pt idx="107">
                  <c:v>87.7</c:v>
                </c:pt>
                <c:pt idx="108">
                  <c:v>85.5</c:v>
                </c:pt>
                <c:pt idx="109">
                  <c:v>76.900000000000006</c:v>
                </c:pt>
                <c:pt idx="110">
                  <c:v>82.3</c:v>
                </c:pt>
                <c:pt idx="111">
                  <c:v>78.5</c:v>
                </c:pt>
                <c:pt idx="112">
                  <c:v>79.5</c:v>
                </c:pt>
                <c:pt idx="113">
                  <c:v>73</c:v>
                </c:pt>
                <c:pt idx="114">
                  <c:v>73.900000000000006</c:v>
                </c:pt>
                <c:pt idx="115">
                  <c:v>76.7</c:v>
                </c:pt>
                <c:pt idx="116">
                  <c:v>74.599999999999994</c:v>
                </c:pt>
                <c:pt idx="117">
                  <c:v>73.3</c:v>
                </c:pt>
                <c:pt idx="118">
                  <c:v>66.900000000000006</c:v>
                </c:pt>
                <c:pt idx="119">
                  <c:v>67</c:v>
                </c:pt>
                <c:pt idx="120">
                  <c:v>65.7</c:v>
                </c:pt>
                <c:pt idx="121">
                  <c:v>67</c:v>
                </c:pt>
                <c:pt idx="122">
                  <c:v>65.099999999999994</c:v>
                </c:pt>
                <c:pt idx="123">
                  <c:v>66.2</c:v>
                </c:pt>
                <c:pt idx="124">
                  <c:v>59.9</c:v>
                </c:pt>
                <c:pt idx="125">
                  <c:v>59.1</c:v>
                </c:pt>
                <c:pt idx="126">
                  <c:v>54.8</c:v>
                </c:pt>
                <c:pt idx="127">
                  <c:v>52.8</c:v>
                </c:pt>
                <c:pt idx="128">
                  <c:v>56.2</c:v>
                </c:pt>
                <c:pt idx="129">
                  <c:v>47.4</c:v>
                </c:pt>
                <c:pt idx="130">
                  <c:v>53.5</c:v>
                </c:pt>
                <c:pt idx="131">
                  <c:v>48.5</c:v>
                </c:pt>
                <c:pt idx="132">
                  <c:v>50.2</c:v>
                </c:pt>
                <c:pt idx="133">
                  <c:v>47.2</c:v>
                </c:pt>
                <c:pt idx="134">
                  <c:v>49.6</c:v>
                </c:pt>
                <c:pt idx="135">
                  <c:v>41.3</c:v>
                </c:pt>
                <c:pt idx="136">
                  <c:v>43.2</c:v>
                </c:pt>
                <c:pt idx="137">
                  <c:v>36.9</c:v>
                </c:pt>
                <c:pt idx="138">
                  <c:v>38.5</c:v>
                </c:pt>
                <c:pt idx="139">
                  <c:v>38.299999999999997</c:v>
                </c:pt>
                <c:pt idx="140">
                  <c:v>39.9</c:v>
                </c:pt>
                <c:pt idx="141">
                  <c:v>34</c:v>
                </c:pt>
                <c:pt idx="142">
                  <c:v>33</c:v>
                </c:pt>
                <c:pt idx="143">
                  <c:v>35.299999999999997</c:v>
                </c:pt>
                <c:pt idx="144">
                  <c:v>35.700000000000003</c:v>
                </c:pt>
                <c:pt idx="145">
                  <c:v>27.6</c:v>
                </c:pt>
                <c:pt idx="146">
                  <c:v>30.8</c:v>
                </c:pt>
                <c:pt idx="147">
                  <c:v>27.9</c:v>
                </c:pt>
                <c:pt idx="148">
                  <c:v>29.4</c:v>
                </c:pt>
                <c:pt idx="149">
                  <c:v>27</c:v>
                </c:pt>
                <c:pt idx="150">
                  <c:v>30.3</c:v>
                </c:pt>
                <c:pt idx="151">
                  <c:v>29.8</c:v>
                </c:pt>
                <c:pt idx="152">
                  <c:v>23.2</c:v>
                </c:pt>
                <c:pt idx="153">
                  <c:v>23</c:v>
                </c:pt>
                <c:pt idx="154">
                  <c:v>25.3</c:v>
                </c:pt>
                <c:pt idx="155">
                  <c:v>28.3</c:v>
                </c:pt>
                <c:pt idx="156">
                  <c:v>26.8</c:v>
                </c:pt>
                <c:pt idx="157">
                  <c:v>23.9</c:v>
                </c:pt>
                <c:pt idx="158">
                  <c:v>18.899999999999999</c:v>
                </c:pt>
                <c:pt idx="159">
                  <c:v>22.9</c:v>
                </c:pt>
                <c:pt idx="160">
                  <c:v>24.1</c:v>
                </c:pt>
                <c:pt idx="161">
                  <c:v>25.6</c:v>
                </c:pt>
                <c:pt idx="162">
                  <c:v>23.8</c:v>
                </c:pt>
                <c:pt idx="163">
                  <c:v>23.8</c:v>
                </c:pt>
                <c:pt idx="164">
                  <c:v>21.1</c:v>
                </c:pt>
                <c:pt idx="165">
                  <c:v>14.7</c:v>
                </c:pt>
                <c:pt idx="166">
                  <c:v>23.4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4E-450E-ACE3-871B904F4B6D}"/>
            </c:ext>
          </c:extLst>
        </c:ser>
        <c:ser>
          <c:idx val="6"/>
          <c:order val="2"/>
          <c:tx>
            <c:strRef>
              <c:f>adult_007_20251015_152715!$K$1</c:f>
              <c:strCache>
                <c:ptCount val="1"/>
                <c:pt idx="0">
                  <c:v>Hypoglycemia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adult_007_20251015_152715!$K$2:$K$168</c:f>
              <c:numCache>
                <c:formatCode>General</c:formatCode>
                <c:ptCount val="167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4E-450E-ACE3-871B904F4B6D}"/>
            </c:ext>
          </c:extLst>
        </c:ser>
        <c:ser>
          <c:idx val="7"/>
          <c:order val="3"/>
          <c:tx>
            <c:strRef>
              <c:f>adult_007_20251015_152715!$L$1</c:f>
              <c:strCache>
                <c:ptCount val="1"/>
                <c:pt idx="0">
                  <c:v>Hyperglycermia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adult_007_20251015_152715!$D$2:$D$168</c:f>
              <c:numCache>
                <c:formatCode>General</c:formatCode>
                <c:ptCount val="167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5.8</c:v>
                </c:pt>
                <c:pt idx="6">
                  <c:v>7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10.4</c:v>
                </c:pt>
                <c:pt idx="10">
                  <c:v>11.5</c:v>
                </c:pt>
                <c:pt idx="11">
                  <c:v>12.6</c:v>
                </c:pt>
                <c:pt idx="12">
                  <c:v>13.7</c:v>
                </c:pt>
                <c:pt idx="13">
                  <c:v>14.8</c:v>
                </c:pt>
                <c:pt idx="14">
                  <c:v>15.9</c:v>
                </c:pt>
                <c:pt idx="15">
                  <c:v>17</c:v>
                </c:pt>
                <c:pt idx="16">
                  <c:v>18.100000000000001</c:v>
                </c:pt>
                <c:pt idx="17">
                  <c:v>19.2</c:v>
                </c:pt>
                <c:pt idx="18">
                  <c:v>20.3</c:v>
                </c:pt>
                <c:pt idx="19">
                  <c:v>21.5</c:v>
                </c:pt>
                <c:pt idx="20">
                  <c:v>22.6</c:v>
                </c:pt>
                <c:pt idx="21">
                  <c:v>23.7</c:v>
                </c:pt>
                <c:pt idx="22">
                  <c:v>24.8</c:v>
                </c:pt>
                <c:pt idx="23">
                  <c:v>25.9</c:v>
                </c:pt>
                <c:pt idx="24">
                  <c:v>27</c:v>
                </c:pt>
                <c:pt idx="25">
                  <c:v>28.1</c:v>
                </c:pt>
                <c:pt idx="26">
                  <c:v>29.4</c:v>
                </c:pt>
                <c:pt idx="27">
                  <c:v>30.5</c:v>
                </c:pt>
                <c:pt idx="28">
                  <c:v>31.6</c:v>
                </c:pt>
                <c:pt idx="29">
                  <c:v>32.700000000000003</c:v>
                </c:pt>
                <c:pt idx="30">
                  <c:v>33.799999999999997</c:v>
                </c:pt>
                <c:pt idx="31">
                  <c:v>34.9</c:v>
                </c:pt>
                <c:pt idx="32">
                  <c:v>36.1</c:v>
                </c:pt>
                <c:pt idx="33">
                  <c:v>37.200000000000003</c:v>
                </c:pt>
                <c:pt idx="34">
                  <c:v>38.299999999999997</c:v>
                </c:pt>
                <c:pt idx="35">
                  <c:v>39.4</c:v>
                </c:pt>
                <c:pt idx="36">
                  <c:v>40.5</c:v>
                </c:pt>
                <c:pt idx="37">
                  <c:v>41.6</c:v>
                </c:pt>
                <c:pt idx="38">
                  <c:v>42.6</c:v>
                </c:pt>
                <c:pt idx="39">
                  <c:v>43.7</c:v>
                </c:pt>
                <c:pt idx="40">
                  <c:v>44.8</c:v>
                </c:pt>
                <c:pt idx="41">
                  <c:v>45.9</c:v>
                </c:pt>
                <c:pt idx="42">
                  <c:v>47</c:v>
                </c:pt>
                <c:pt idx="43">
                  <c:v>48.1</c:v>
                </c:pt>
                <c:pt idx="44">
                  <c:v>49.2</c:v>
                </c:pt>
                <c:pt idx="45">
                  <c:v>50.3</c:v>
                </c:pt>
                <c:pt idx="46">
                  <c:v>51.3</c:v>
                </c:pt>
                <c:pt idx="47">
                  <c:v>52.4</c:v>
                </c:pt>
                <c:pt idx="48">
                  <c:v>53.5</c:v>
                </c:pt>
                <c:pt idx="49">
                  <c:v>54.6</c:v>
                </c:pt>
                <c:pt idx="50">
                  <c:v>55.7</c:v>
                </c:pt>
                <c:pt idx="51">
                  <c:v>56.8</c:v>
                </c:pt>
                <c:pt idx="52">
                  <c:v>57.9</c:v>
                </c:pt>
                <c:pt idx="53">
                  <c:v>58.9</c:v>
                </c:pt>
                <c:pt idx="54">
                  <c:v>60</c:v>
                </c:pt>
                <c:pt idx="55">
                  <c:v>61.1</c:v>
                </c:pt>
                <c:pt idx="56">
                  <c:v>62.3</c:v>
                </c:pt>
                <c:pt idx="57">
                  <c:v>63.4</c:v>
                </c:pt>
                <c:pt idx="58">
                  <c:v>64.5</c:v>
                </c:pt>
                <c:pt idx="59">
                  <c:v>65.599999999999994</c:v>
                </c:pt>
                <c:pt idx="60">
                  <c:v>66.7</c:v>
                </c:pt>
                <c:pt idx="61">
                  <c:v>67.8</c:v>
                </c:pt>
                <c:pt idx="62">
                  <c:v>68.900000000000006</c:v>
                </c:pt>
                <c:pt idx="63">
                  <c:v>70</c:v>
                </c:pt>
                <c:pt idx="64">
                  <c:v>71</c:v>
                </c:pt>
                <c:pt idx="65">
                  <c:v>72.099999999999994</c:v>
                </c:pt>
                <c:pt idx="66">
                  <c:v>73.2</c:v>
                </c:pt>
                <c:pt idx="67">
                  <c:v>74.3</c:v>
                </c:pt>
                <c:pt idx="68">
                  <c:v>75.400000000000006</c:v>
                </c:pt>
                <c:pt idx="69">
                  <c:v>76.5</c:v>
                </c:pt>
                <c:pt idx="70">
                  <c:v>77.599999999999994</c:v>
                </c:pt>
                <c:pt idx="71">
                  <c:v>78.7</c:v>
                </c:pt>
                <c:pt idx="72">
                  <c:v>79.8</c:v>
                </c:pt>
                <c:pt idx="73">
                  <c:v>80.900000000000006</c:v>
                </c:pt>
                <c:pt idx="74">
                  <c:v>81.900000000000006</c:v>
                </c:pt>
                <c:pt idx="75">
                  <c:v>83</c:v>
                </c:pt>
                <c:pt idx="76">
                  <c:v>84.1</c:v>
                </c:pt>
                <c:pt idx="77">
                  <c:v>85.2</c:v>
                </c:pt>
                <c:pt idx="78">
                  <c:v>86.5</c:v>
                </c:pt>
                <c:pt idx="79">
                  <c:v>87.7</c:v>
                </c:pt>
                <c:pt idx="80">
                  <c:v>88.8</c:v>
                </c:pt>
                <c:pt idx="81">
                  <c:v>89.9</c:v>
                </c:pt>
                <c:pt idx="82">
                  <c:v>91</c:v>
                </c:pt>
                <c:pt idx="83">
                  <c:v>92.1</c:v>
                </c:pt>
                <c:pt idx="84">
                  <c:v>93.2</c:v>
                </c:pt>
                <c:pt idx="85">
                  <c:v>94.3</c:v>
                </c:pt>
                <c:pt idx="86">
                  <c:v>95.4</c:v>
                </c:pt>
                <c:pt idx="87">
                  <c:v>96.5</c:v>
                </c:pt>
                <c:pt idx="88">
                  <c:v>97.7</c:v>
                </c:pt>
                <c:pt idx="89">
                  <c:v>98.8</c:v>
                </c:pt>
                <c:pt idx="90">
                  <c:v>99.8</c:v>
                </c:pt>
                <c:pt idx="91">
                  <c:v>100.9</c:v>
                </c:pt>
                <c:pt idx="92">
                  <c:v>102</c:v>
                </c:pt>
                <c:pt idx="93">
                  <c:v>103.2</c:v>
                </c:pt>
                <c:pt idx="94">
                  <c:v>104.3</c:v>
                </c:pt>
                <c:pt idx="95">
                  <c:v>105.4</c:v>
                </c:pt>
                <c:pt idx="96">
                  <c:v>106.5</c:v>
                </c:pt>
                <c:pt idx="97">
                  <c:v>107.6</c:v>
                </c:pt>
                <c:pt idx="98">
                  <c:v>108.7</c:v>
                </c:pt>
                <c:pt idx="99">
                  <c:v>109.8</c:v>
                </c:pt>
                <c:pt idx="100">
                  <c:v>110.9</c:v>
                </c:pt>
                <c:pt idx="101">
                  <c:v>112</c:v>
                </c:pt>
                <c:pt idx="102">
                  <c:v>113.1</c:v>
                </c:pt>
                <c:pt idx="103">
                  <c:v>114.2</c:v>
                </c:pt>
                <c:pt idx="104">
                  <c:v>115.2</c:v>
                </c:pt>
                <c:pt idx="105">
                  <c:v>116.3</c:v>
                </c:pt>
                <c:pt idx="106">
                  <c:v>117.5</c:v>
                </c:pt>
                <c:pt idx="107">
                  <c:v>118.6</c:v>
                </c:pt>
                <c:pt idx="108">
                  <c:v>119.7</c:v>
                </c:pt>
                <c:pt idx="109">
                  <c:v>120.8</c:v>
                </c:pt>
                <c:pt idx="110">
                  <c:v>121.9</c:v>
                </c:pt>
                <c:pt idx="111">
                  <c:v>123</c:v>
                </c:pt>
                <c:pt idx="112">
                  <c:v>124.1</c:v>
                </c:pt>
                <c:pt idx="113">
                  <c:v>125.2</c:v>
                </c:pt>
                <c:pt idx="114">
                  <c:v>126.3</c:v>
                </c:pt>
                <c:pt idx="115">
                  <c:v>127.4</c:v>
                </c:pt>
                <c:pt idx="116">
                  <c:v>128.5</c:v>
                </c:pt>
                <c:pt idx="117">
                  <c:v>129.69999999999999</c:v>
                </c:pt>
                <c:pt idx="118">
                  <c:v>130.80000000000001</c:v>
                </c:pt>
                <c:pt idx="119">
                  <c:v>133.9</c:v>
                </c:pt>
                <c:pt idx="120">
                  <c:v>134.9</c:v>
                </c:pt>
                <c:pt idx="121">
                  <c:v>136</c:v>
                </c:pt>
                <c:pt idx="122">
                  <c:v>137.1</c:v>
                </c:pt>
                <c:pt idx="123">
                  <c:v>138.19999999999999</c:v>
                </c:pt>
                <c:pt idx="124">
                  <c:v>139.30000000000001</c:v>
                </c:pt>
                <c:pt idx="125">
                  <c:v>140.4</c:v>
                </c:pt>
                <c:pt idx="126">
                  <c:v>141.5</c:v>
                </c:pt>
                <c:pt idx="127">
                  <c:v>142.6</c:v>
                </c:pt>
                <c:pt idx="128">
                  <c:v>143.69999999999999</c:v>
                </c:pt>
                <c:pt idx="129">
                  <c:v>144.80000000000001</c:v>
                </c:pt>
                <c:pt idx="130">
                  <c:v>145.9</c:v>
                </c:pt>
                <c:pt idx="131">
                  <c:v>147.1</c:v>
                </c:pt>
                <c:pt idx="132">
                  <c:v>148.1</c:v>
                </c:pt>
                <c:pt idx="133">
                  <c:v>149.5</c:v>
                </c:pt>
                <c:pt idx="134">
                  <c:v>150.69999999999999</c:v>
                </c:pt>
                <c:pt idx="135">
                  <c:v>151.80000000000001</c:v>
                </c:pt>
                <c:pt idx="136">
                  <c:v>152.9</c:v>
                </c:pt>
                <c:pt idx="137">
                  <c:v>154</c:v>
                </c:pt>
                <c:pt idx="138">
                  <c:v>155.1</c:v>
                </c:pt>
                <c:pt idx="139">
                  <c:v>156.19999999999999</c:v>
                </c:pt>
                <c:pt idx="140">
                  <c:v>157.4</c:v>
                </c:pt>
                <c:pt idx="141">
                  <c:v>158.5</c:v>
                </c:pt>
                <c:pt idx="142">
                  <c:v>159.6</c:v>
                </c:pt>
                <c:pt idx="143">
                  <c:v>160.69999999999999</c:v>
                </c:pt>
                <c:pt idx="144">
                  <c:v>161.9</c:v>
                </c:pt>
                <c:pt idx="145">
                  <c:v>163</c:v>
                </c:pt>
                <c:pt idx="146">
                  <c:v>164.2</c:v>
                </c:pt>
                <c:pt idx="147">
                  <c:v>165.3</c:v>
                </c:pt>
                <c:pt idx="148">
                  <c:v>166.4</c:v>
                </c:pt>
                <c:pt idx="149">
                  <c:v>167.5</c:v>
                </c:pt>
                <c:pt idx="150">
                  <c:v>168.6</c:v>
                </c:pt>
                <c:pt idx="151">
                  <c:v>169.8</c:v>
                </c:pt>
                <c:pt idx="152">
                  <c:v>170.8</c:v>
                </c:pt>
                <c:pt idx="153">
                  <c:v>172</c:v>
                </c:pt>
                <c:pt idx="154">
                  <c:v>173.2</c:v>
                </c:pt>
                <c:pt idx="155">
                  <c:v>174.4</c:v>
                </c:pt>
                <c:pt idx="156">
                  <c:v>175.4</c:v>
                </c:pt>
                <c:pt idx="157">
                  <c:v>176.5</c:v>
                </c:pt>
                <c:pt idx="158">
                  <c:v>177.6</c:v>
                </c:pt>
                <c:pt idx="159">
                  <c:v>178.7</c:v>
                </c:pt>
                <c:pt idx="160">
                  <c:v>179.8</c:v>
                </c:pt>
                <c:pt idx="161">
                  <c:v>180.9</c:v>
                </c:pt>
                <c:pt idx="162">
                  <c:v>182</c:v>
                </c:pt>
                <c:pt idx="163">
                  <c:v>183.1</c:v>
                </c:pt>
                <c:pt idx="164">
                  <c:v>184.2</c:v>
                </c:pt>
                <c:pt idx="165">
                  <c:v>185.3</c:v>
                </c:pt>
                <c:pt idx="166">
                  <c:v>186.4</c:v>
                </c:pt>
              </c:numCache>
            </c:numRef>
          </c:xVal>
          <c:yVal>
            <c:numRef>
              <c:f>adult_007_20251015_152715!$L$2:$L$168</c:f>
              <c:numCache>
                <c:formatCode>General</c:formatCode>
                <c:ptCount val="167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180</c:v>
                </c:pt>
                <c:pt idx="24">
                  <c:v>180</c:v>
                </c:pt>
                <c:pt idx="25">
                  <c:v>180</c:v>
                </c:pt>
                <c:pt idx="26">
                  <c:v>180</c:v>
                </c:pt>
                <c:pt idx="27">
                  <c:v>180</c:v>
                </c:pt>
                <c:pt idx="28">
                  <c:v>180</c:v>
                </c:pt>
                <c:pt idx="29">
                  <c:v>180</c:v>
                </c:pt>
                <c:pt idx="30">
                  <c:v>180</c:v>
                </c:pt>
                <c:pt idx="31">
                  <c:v>180</c:v>
                </c:pt>
                <c:pt idx="32">
                  <c:v>180</c:v>
                </c:pt>
                <c:pt idx="33">
                  <c:v>180</c:v>
                </c:pt>
                <c:pt idx="34">
                  <c:v>180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180</c:v>
                </c:pt>
                <c:pt idx="39">
                  <c:v>180</c:v>
                </c:pt>
                <c:pt idx="40">
                  <c:v>180</c:v>
                </c:pt>
                <c:pt idx="41">
                  <c:v>180</c:v>
                </c:pt>
                <c:pt idx="42">
                  <c:v>180</c:v>
                </c:pt>
                <c:pt idx="43">
                  <c:v>180</c:v>
                </c:pt>
                <c:pt idx="44">
                  <c:v>180</c:v>
                </c:pt>
                <c:pt idx="45">
                  <c:v>180</c:v>
                </c:pt>
                <c:pt idx="46">
                  <c:v>180</c:v>
                </c:pt>
                <c:pt idx="47">
                  <c:v>180</c:v>
                </c:pt>
                <c:pt idx="48">
                  <c:v>180</c:v>
                </c:pt>
                <c:pt idx="49">
                  <c:v>180</c:v>
                </c:pt>
                <c:pt idx="50">
                  <c:v>180</c:v>
                </c:pt>
                <c:pt idx="51">
                  <c:v>180</c:v>
                </c:pt>
                <c:pt idx="52">
                  <c:v>180</c:v>
                </c:pt>
                <c:pt idx="53">
                  <c:v>180</c:v>
                </c:pt>
                <c:pt idx="54">
                  <c:v>180</c:v>
                </c:pt>
                <c:pt idx="55">
                  <c:v>180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180</c:v>
                </c:pt>
                <c:pt idx="60">
                  <c:v>180</c:v>
                </c:pt>
                <c:pt idx="61">
                  <c:v>180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180</c:v>
                </c:pt>
                <c:pt idx="66">
                  <c:v>180</c:v>
                </c:pt>
                <c:pt idx="67">
                  <c:v>180</c:v>
                </c:pt>
                <c:pt idx="68">
                  <c:v>180</c:v>
                </c:pt>
                <c:pt idx="69">
                  <c:v>180</c:v>
                </c:pt>
                <c:pt idx="70">
                  <c:v>180</c:v>
                </c:pt>
                <c:pt idx="71">
                  <c:v>180</c:v>
                </c:pt>
                <c:pt idx="72">
                  <c:v>180</c:v>
                </c:pt>
                <c:pt idx="73">
                  <c:v>180</c:v>
                </c:pt>
                <c:pt idx="74">
                  <c:v>180</c:v>
                </c:pt>
                <c:pt idx="75">
                  <c:v>180</c:v>
                </c:pt>
                <c:pt idx="76">
                  <c:v>180</c:v>
                </c:pt>
                <c:pt idx="77">
                  <c:v>180</c:v>
                </c:pt>
                <c:pt idx="78">
                  <c:v>180</c:v>
                </c:pt>
                <c:pt idx="79">
                  <c:v>180</c:v>
                </c:pt>
                <c:pt idx="80">
                  <c:v>180</c:v>
                </c:pt>
                <c:pt idx="81">
                  <c:v>180</c:v>
                </c:pt>
                <c:pt idx="82">
                  <c:v>180</c:v>
                </c:pt>
                <c:pt idx="83">
                  <c:v>180</c:v>
                </c:pt>
                <c:pt idx="84">
                  <c:v>180</c:v>
                </c:pt>
                <c:pt idx="85">
                  <c:v>180</c:v>
                </c:pt>
                <c:pt idx="86">
                  <c:v>180</c:v>
                </c:pt>
                <c:pt idx="87">
                  <c:v>180</c:v>
                </c:pt>
                <c:pt idx="88">
                  <c:v>180</c:v>
                </c:pt>
                <c:pt idx="89">
                  <c:v>180</c:v>
                </c:pt>
                <c:pt idx="90">
                  <c:v>180</c:v>
                </c:pt>
                <c:pt idx="91">
                  <c:v>180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180</c:v>
                </c:pt>
                <c:pt idx="96">
                  <c:v>180</c:v>
                </c:pt>
                <c:pt idx="97">
                  <c:v>180</c:v>
                </c:pt>
                <c:pt idx="98">
                  <c:v>180</c:v>
                </c:pt>
                <c:pt idx="99">
                  <c:v>180</c:v>
                </c:pt>
                <c:pt idx="100">
                  <c:v>180</c:v>
                </c:pt>
                <c:pt idx="101">
                  <c:v>180</c:v>
                </c:pt>
                <c:pt idx="102">
                  <c:v>180</c:v>
                </c:pt>
                <c:pt idx="103">
                  <c:v>180</c:v>
                </c:pt>
                <c:pt idx="104">
                  <c:v>180</c:v>
                </c:pt>
                <c:pt idx="105">
                  <c:v>180</c:v>
                </c:pt>
                <c:pt idx="106">
                  <c:v>180</c:v>
                </c:pt>
                <c:pt idx="107">
                  <c:v>180</c:v>
                </c:pt>
                <c:pt idx="108">
                  <c:v>180</c:v>
                </c:pt>
                <c:pt idx="109">
                  <c:v>180</c:v>
                </c:pt>
                <c:pt idx="110">
                  <c:v>180</c:v>
                </c:pt>
                <c:pt idx="111">
                  <c:v>180</c:v>
                </c:pt>
                <c:pt idx="112">
                  <c:v>180</c:v>
                </c:pt>
                <c:pt idx="113">
                  <c:v>180</c:v>
                </c:pt>
                <c:pt idx="114">
                  <c:v>180</c:v>
                </c:pt>
                <c:pt idx="115">
                  <c:v>180</c:v>
                </c:pt>
                <c:pt idx="116">
                  <c:v>180</c:v>
                </c:pt>
                <c:pt idx="117">
                  <c:v>180</c:v>
                </c:pt>
                <c:pt idx="118">
                  <c:v>180</c:v>
                </c:pt>
                <c:pt idx="119">
                  <c:v>180</c:v>
                </c:pt>
                <c:pt idx="120">
                  <c:v>180</c:v>
                </c:pt>
                <c:pt idx="121">
                  <c:v>180</c:v>
                </c:pt>
                <c:pt idx="122">
                  <c:v>180</c:v>
                </c:pt>
                <c:pt idx="123">
                  <c:v>180</c:v>
                </c:pt>
                <c:pt idx="124">
                  <c:v>180</c:v>
                </c:pt>
                <c:pt idx="125">
                  <c:v>180</c:v>
                </c:pt>
                <c:pt idx="126">
                  <c:v>180</c:v>
                </c:pt>
                <c:pt idx="127">
                  <c:v>180</c:v>
                </c:pt>
                <c:pt idx="128">
                  <c:v>180</c:v>
                </c:pt>
                <c:pt idx="129">
                  <c:v>180</c:v>
                </c:pt>
                <c:pt idx="130">
                  <c:v>180</c:v>
                </c:pt>
                <c:pt idx="131">
                  <c:v>180</c:v>
                </c:pt>
                <c:pt idx="132">
                  <c:v>180</c:v>
                </c:pt>
                <c:pt idx="133">
                  <c:v>180</c:v>
                </c:pt>
                <c:pt idx="134">
                  <c:v>180</c:v>
                </c:pt>
                <c:pt idx="135">
                  <c:v>180</c:v>
                </c:pt>
                <c:pt idx="136">
                  <c:v>180</c:v>
                </c:pt>
                <c:pt idx="137">
                  <c:v>180</c:v>
                </c:pt>
                <c:pt idx="138">
                  <c:v>180</c:v>
                </c:pt>
                <c:pt idx="139">
                  <c:v>180</c:v>
                </c:pt>
                <c:pt idx="140">
                  <c:v>180</c:v>
                </c:pt>
                <c:pt idx="141">
                  <c:v>180</c:v>
                </c:pt>
                <c:pt idx="142">
                  <c:v>180</c:v>
                </c:pt>
                <c:pt idx="143">
                  <c:v>180</c:v>
                </c:pt>
                <c:pt idx="144">
                  <c:v>180</c:v>
                </c:pt>
                <c:pt idx="145">
                  <c:v>180</c:v>
                </c:pt>
                <c:pt idx="146">
                  <c:v>180</c:v>
                </c:pt>
                <c:pt idx="147">
                  <c:v>180</c:v>
                </c:pt>
                <c:pt idx="148">
                  <c:v>180</c:v>
                </c:pt>
                <c:pt idx="149">
                  <c:v>180</c:v>
                </c:pt>
                <c:pt idx="150">
                  <c:v>180</c:v>
                </c:pt>
                <c:pt idx="151">
                  <c:v>180</c:v>
                </c:pt>
                <c:pt idx="152">
                  <c:v>180</c:v>
                </c:pt>
                <c:pt idx="153">
                  <c:v>180</c:v>
                </c:pt>
                <c:pt idx="154">
                  <c:v>180</c:v>
                </c:pt>
                <c:pt idx="155">
                  <c:v>180</c:v>
                </c:pt>
                <c:pt idx="156">
                  <c:v>180</c:v>
                </c:pt>
                <c:pt idx="157">
                  <c:v>180</c:v>
                </c:pt>
                <c:pt idx="158">
                  <c:v>180</c:v>
                </c:pt>
                <c:pt idx="159">
                  <c:v>180</c:v>
                </c:pt>
                <c:pt idx="160">
                  <c:v>180</c:v>
                </c:pt>
                <c:pt idx="161">
                  <c:v>180</c:v>
                </c:pt>
                <c:pt idx="162">
                  <c:v>180</c:v>
                </c:pt>
                <c:pt idx="163">
                  <c:v>180</c:v>
                </c:pt>
                <c:pt idx="164">
                  <c:v>180</c:v>
                </c:pt>
                <c:pt idx="165">
                  <c:v>180</c:v>
                </c:pt>
                <c:pt idx="166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C4E-450E-ACE3-871B904F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452960"/>
        <c:axId val="907454400"/>
      </c:scatterChart>
      <c:valAx>
        <c:axId val="90745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54400"/>
        <c:crosses val="autoZero"/>
        <c:crossBetween val="midCat"/>
      </c:valAx>
      <c:valAx>
        <c:axId val="9074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 Value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5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206375</xdr:colOff>
      <xdr:row>3</xdr:row>
      <xdr:rowOff>39687</xdr:rowOff>
    </xdr:from>
    <xdr:to>
      <xdr:col>19</xdr:col>
      <xdr:colOff>514350</xdr:colOff>
      <xdr:row>18</xdr:row>
      <xdr:rowOff>65087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F19E6C-5938-42B4-8B6A-8C2A849D2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19</xdr:row>
      <xdr:rowOff>92075</xdr:rowOff>
    </xdr:from>
    <xdr:to>
      <xdr:col>19</xdr:col>
      <xdr:colOff>581025</xdr:colOff>
      <xdr:row>34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9F3043-B00F-4E6A-94CB-6A30E05A9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</xdr:row>
      <xdr:rowOff>0</xdr:rowOff>
    </xdr:from>
    <xdr:to>
      <xdr:col>28</xdr:col>
      <xdr:colOff>307975</xdr:colOff>
      <xdr:row>18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13681D-0566-4314-9CF0-E844AD19B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B1D6-E35A-42AA-8DB4-7412F53C89F4}">
  <dimension ref="A1:L168"/>
  <sheetViews>
    <sheetView tabSelected="1" zoomScaleNormal="100" workbookViewId="0">
      <selection activeCell="F8" sqref="F8"/>
    </sheetView>
  </sheetViews>
  <sheetFormatPr defaultRowHeight="14.5" x14ac:dyDescent="0.35"/>
  <cols>
    <col min="1" max="1" width="15.08984375" bestFit="1" customWidth="1"/>
    <col min="2" max="4" width="15.08984375" customWidth="1"/>
    <col min="7" max="7" width="6.81640625" bestFit="1" customWidth="1"/>
    <col min="8" max="8" width="18.36328125" bestFit="1" customWidth="1"/>
    <col min="10" max="10" width="16.08984375" bestFit="1" customWidth="1"/>
    <col min="11" max="11" width="12.81640625" bestFit="1" customWidth="1"/>
  </cols>
  <sheetData>
    <row r="1" spans="1:12" x14ac:dyDescent="0.35">
      <c r="A1" t="s">
        <v>0</v>
      </c>
      <c r="B1" t="s">
        <v>5</v>
      </c>
      <c r="C1" t="s">
        <v>6</v>
      </c>
      <c r="D1" t="s">
        <v>7</v>
      </c>
      <c r="E1" t="s">
        <v>10</v>
      </c>
      <c r="F1" t="s">
        <v>11</v>
      </c>
      <c r="G1" t="s">
        <v>1</v>
      </c>
      <c r="H1" t="s">
        <v>2</v>
      </c>
      <c r="I1" t="s">
        <v>3</v>
      </c>
      <c r="J1" t="s">
        <v>4</v>
      </c>
      <c r="K1" t="s">
        <v>8</v>
      </c>
      <c r="L1" t="s">
        <v>9</v>
      </c>
    </row>
    <row r="2" spans="1:12" x14ac:dyDescent="0.35">
      <c r="A2" s="1">
        <v>45945.643796296295</v>
      </c>
      <c r="B2" s="2">
        <f>TIME(HOUR(A2), MINUTE(A2), SECOND(A2))</f>
        <v>0.64379629629629631</v>
      </c>
      <c r="C2" s="3">
        <f>B2-$B$2</f>
        <v>0</v>
      </c>
      <c r="D2" s="4">
        <f>ROUND(HOUR(C2)*60 + MINUTE(C2) + SECOND(C2)/60, 1)</f>
        <v>0</v>
      </c>
      <c r="E2">
        <v>122.4</v>
      </c>
      <c r="F2">
        <v>118.5</v>
      </c>
      <c r="G2">
        <v>3.3300000000000003E-2</v>
      </c>
      <c r="H2">
        <v>47.5</v>
      </c>
      <c r="I2">
        <v>11.37</v>
      </c>
      <c r="J2">
        <v>36.130000000000003</v>
      </c>
      <c r="K2">
        <v>70</v>
      </c>
      <c r="L2">
        <v>180</v>
      </c>
    </row>
    <row r="3" spans="1:12" x14ac:dyDescent="0.35">
      <c r="A3" s="1">
        <v>45945.644687499997</v>
      </c>
      <c r="B3" s="2">
        <f t="shared" ref="B3:B66" si="0">TIME(HOUR(A3), MINUTE(A3), SECOND(A3))</f>
        <v>0.64468749999999997</v>
      </c>
      <c r="C3" s="3">
        <f>B3-$B$2</f>
        <v>8.9120370370365798E-4</v>
      </c>
      <c r="D3" s="4">
        <f>ROUND(HOUR(C3)*60 + MINUTE(C3) + SECOND(C3)/60, 1)</f>
        <v>1.3</v>
      </c>
      <c r="E3">
        <v>125.8</v>
      </c>
      <c r="F3">
        <v>123.4</v>
      </c>
      <c r="G3">
        <v>3.3300000000000003E-2</v>
      </c>
      <c r="H3">
        <v>47.5</v>
      </c>
      <c r="I3">
        <v>11.84</v>
      </c>
      <c r="J3">
        <v>35.659999999999997</v>
      </c>
      <c r="K3">
        <v>70</v>
      </c>
      <c r="L3">
        <v>180</v>
      </c>
    </row>
    <row r="4" spans="1:12" x14ac:dyDescent="0.35">
      <c r="A4" s="1">
        <v>45945.645451388889</v>
      </c>
      <c r="B4" s="2">
        <f t="shared" si="0"/>
        <v>0.64545138888888887</v>
      </c>
      <c r="C4" s="3">
        <f t="shared" ref="C4:C67" si="1">B4-$B$2</f>
        <v>1.6550925925925553E-3</v>
      </c>
      <c r="D4" s="4">
        <f t="shared" ref="D4:D67" si="2">ROUND(HOUR(C4)*60 + MINUTE(C4) + SECOND(C4)/60, 1)</f>
        <v>2.4</v>
      </c>
      <c r="E4">
        <v>126.9</v>
      </c>
      <c r="F4">
        <v>123</v>
      </c>
      <c r="G4">
        <v>3.3300000000000003E-2</v>
      </c>
      <c r="H4">
        <v>47.5</v>
      </c>
      <c r="I4">
        <v>11.8</v>
      </c>
      <c r="J4">
        <v>35.700000000000003</v>
      </c>
      <c r="K4">
        <v>70</v>
      </c>
      <c r="L4">
        <v>180</v>
      </c>
    </row>
    <row r="5" spans="1:12" x14ac:dyDescent="0.35">
      <c r="A5" s="1">
        <v>45945.646226851852</v>
      </c>
      <c r="B5" s="2">
        <f t="shared" si="0"/>
        <v>0.6462268518518518</v>
      </c>
      <c r="C5" s="3">
        <f t="shared" si="1"/>
        <v>2.4305555555554914E-3</v>
      </c>
      <c r="D5" s="4">
        <f t="shared" si="2"/>
        <v>3.5</v>
      </c>
      <c r="E5">
        <v>127.4</v>
      </c>
      <c r="F5">
        <v>117.5</v>
      </c>
      <c r="G5">
        <v>3.3300000000000003E-2</v>
      </c>
      <c r="H5">
        <v>47.5</v>
      </c>
      <c r="I5">
        <v>11.28</v>
      </c>
      <c r="J5">
        <v>36.22</v>
      </c>
      <c r="K5">
        <v>70</v>
      </c>
      <c r="L5">
        <v>180</v>
      </c>
    </row>
    <row r="6" spans="1:12" x14ac:dyDescent="0.35">
      <c r="A6" s="1">
        <v>45945.647002314814</v>
      </c>
      <c r="B6" s="2">
        <f t="shared" si="0"/>
        <v>0.64700231481481485</v>
      </c>
      <c r="C6" s="3">
        <f t="shared" si="1"/>
        <v>3.2060185185185386E-3</v>
      </c>
      <c r="D6" s="4">
        <f t="shared" si="2"/>
        <v>4.5999999999999996</v>
      </c>
      <c r="E6">
        <v>128.30000000000001</v>
      </c>
      <c r="F6">
        <v>117.8</v>
      </c>
      <c r="G6">
        <v>3.3300000000000003E-2</v>
      </c>
      <c r="H6">
        <v>47.5</v>
      </c>
      <c r="I6">
        <v>11.3</v>
      </c>
      <c r="J6">
        <v>36.200000000000003</v>
      </c>
      <c r="K6">
        <v>70</v>
      </c>
      <c r="L6">
        <v>180</v>
      </c>
    </row>
    <row r="7" spans="1:12" x14ac:dyDescent="0.35">
      <c r="A7" s="1">
        <v>45945.647835648146</v>
      </c>
      <c r="B7" s="2">
        <f t="shared" si="0"/>
        <v>0.6478356481481482</v>
      </c>
      <c r="C7" s="3">
        <f t="shared" si="1"/>
        <v>4.0393518518518912E-3</v>
      </c>
      <c r="D7" s="4">
        <f t="shared" si="2"/>
        <v>5.8</v>
      </c>
      <c r="E7">
        <v>129.4</v>
      </c>
      <c r="F7">
        <v>119.5</v>
      </c>
      <c r="G7">
        <v>4.58E-2</v>
      </c>
      <c r="H7">
        <v>47.5</v>
      </c>
      <c r="I7">
        <v>11.47</v>
      </c>
      <c r="J7">
        <v>36.03</v>
      </c>
      <c r="K7">
        <v>70</v>
      </c>
      <c r="L7">
        <v>180</v>
      </c>
    </row>
    <row r="8" spans="1:12" x14ac:dyDescent="0.35">
      <c r="A8" s="1">
        <v>45945.648645833331</v>
      </c>
      <c r="B8" s="2">
        <f t="shared" si="0"/>
        <v>0.64864583333333337</v>
      </c>
      <c r="C8" s="3">
        <f t="shared" si="1"/>
        <v>4.849537037037055E-3</v>
      </c>
      <c r="D8" s="4">
        <f t="shared" si="2"/>
        <v>7</v>
      </c>
      <c r="E8">
        <v>128.9</v>
      </c>
      <c r="F8">
        <v>121.3</v>
      </c>
      <c r="G8">
        <v>4.58E-2</v>
      </c>
      <c r="H8">
        <v>47.5</v>
      </c>
      <c r="I8">
        <v>11.64</v>
      </c>
      <c r="J8">
        <v>35.86</v>
      </c>
      <c r="K8">
        <v>70</v>
      </c>
      <c r="L8">
        <v>180</v>
      </c>
    </row>
    <row r="9" spans="1:12" x14ac:dyDescent="0.35">
      <c r="A9" s="1">
        <v>45945.649456018517</v>
      </c>
      <c r="B9" s="2">
        <f t="shared" si="0"/>
        <v>0.64945601851851853</v>
      </c>
      <c r="C9" s="3">
        <f t="shared" si="1"/>
        <v>5.6597222222222188E-3</v>
      </c>
      <c r="D9" s="4">
        <f t="shared" si="2"/>
        <v>8.1999999999999993</v>
      </c>
      <c r="E9">
        <v>128.30000000000001</v>
      </c>
      <c r="F9">
        <v>123.4</v>
      </c>
      <c r="G9">
        <v>4.58E-2</v>
      </c>
      <c r="H9">
        <v>47.5</v>
      </c>
      <c r="I9">
        <v>11.84</v>
      </c>
      <c r="J9">
        <v>35.659999999999997</v>
      </c>
      <c r="K9">
        <v>70</v>
      </c>
      <c r="L9">
        <v>180</v>
      </c>
    </row>
    <row r="10" spans="1:12" x14ac:dyDescent="0.35">
      <c r="A10" s="1">
        <v>45945.650277777779</v>
      </c>
      <c r="B10" s="2">
        <f t="shared" si="0"/>
        <v>0.65027777777777773</v>
      </c>
      <c r="C10" s="3">
        <f t="shared" si="1"/>
        <v>6.4814814814814214E-3</v>
      </c>
      <c r="D10" s="4">
        <f t="shared" si="2"/>
        <v>9.3000000000000007</v>
      </c>
      <c r="E10">
        <v>128.5</v>
      </c>
      <c r="F10">
        <v>124.4</v>
      </c>
      <c r="G10">
        <v>4.58E-2</v>
      </c>
      <c r="H10">
        <v>47.5</v>
      </c>
      <c r="I10">
        <v>11.94</v>
      </c>
      <c r="J10">
        <v>35.56</v>
      </c>
      <c r="K10">
        <v>70</v>
      </c>
      <c r="L10">
        <v>180</v>
      </c>
    </row>
    <row r="11" spans="1:12" x14ac:dyDescent="0.35">
      <c r="A11" s="1">
        <v>45945.651030092595</v>
      </c>
      <c r="B11" s="2">
        <f t="shared" si="0"/>
        <v>0.65103009259259259</v>
      </c>
      <c r="C11" s="3">
        <f t="shared" si="1"/>
        <v>7.2337962962962798E-3</v>
      </c>
      <c r="D11" s="4">
        <f t="shared" si="2"/>
        <v>10.4</v>
      </c>
      <c r="E11">
        <v>130.5</v>
      </c>
      <c r="F11">
        <v>119.9</v>
      </c>
      <c r="G11">
        <v>4.58E-2</v>
      </c>
      <c r="H11">
        <v>47.5</v>
      </c>
      <c r="I11">
        <v>11.51</v>
      </c>
      <c r="J11">
        <v>35.99</v>
      </c>
      <c r="K11">
        <v>70</v>
      </c>
      <c r="L11">
        <v>180</v>
      </c>
    </row>
    <row r="12" spans="1:12" x14ac:dyDescent="0.35">
      <c r="A12" s="1">
        <v>45945.65179398148</v>
      </c>
      <c r="B12" s="2">
        <f t="shared" si="0"/>
        <v>0.65179398148148149</v>
      </c>
      <c r="C12" s="3">
        <f t="shared" si="1"/>
        <v>7.9976851851851771E-3</v>
      </c>
      <c r="D12" s="4">
        <f t="shared" si="2"/>
        <v>11.5</v>
      </c>
      <c r="E12">
        <v>132.5</v>
      </c>
      <c r="F12">
        <v>117.5</v>
      </c>
      <c r="G12">
        <v>4.58E-2</v>
      </c>
      <c r="H12">
        <v>47.5</v>
      </c>
      <c r="I12">
        <v>11.28</v>
      </c>
      <c r="J12">
        <v>36.22</v>
      </c>
      <c r="K12">
        <v>70</v>
      </c>
      <c r="L12">
        <v>180</v>
      </c>
    </row>
    <row r="13" spans="1:12" x14ac:dyDescent="0.35">
      <c r="A13" s="1">
        <v>45945.652557870373</v>
      </c>
      <c r="B13" s="2">
        <f t="shared" si="0"/>
        <v>0.65255787037037039</v>
      </c>
      <c r="C13" s="3">
        <f t="shared" si="1"/>
        <v>8.7615740740740744E-3</v>
      </c>
      <c r="D13" s="4">
        <f t="shared" si="2"/>
        <v>12.6</v>
      </c>
      <c r="E13">
        <v>134.5</v>
      </c>
      <c r="F13">
        <v>122</v>
      </c>
      <c r="G13">
        <v>4.58E-2</v>
      </c>
      <c r="H13">
        <v>47.5</v>
      </c>
      <c r="I13">
        <v>11.71</v>
      </c>
      <c r="J13">
        <v>35.79</v>
      </c>
      <c r="K13">
        <v>70</v>
      </c>
      <c r="L13">
        <v>180</v>
      </c>
    </row>
    <row r="14" spans="1:12" x14ac:dyDescent="0.35">
      <c r="A14" s="1">
        <v>45945.653310185182</v>
      </c>
      <c r="B14" s="2">
        <f t="shared" si="0"/>
        <v>0.65331018518518513</v>
      </c>
      <c r="C14" s="3">
        <f t="shared" si="1"/>
        <v>9.5138888888888218E-3</v>
      </c>
      <c r="D14" s="4">
        <f t="shared" si="2"/>
        <v>13.7</v>
      </c>
      <c r="E14">
        <v>136.4</v>
      </c>
      <c r="F14">
        <v>123.8</v>
      </c>
      <c r="G14">
        <v>4.58E-2</v>
      </c>
      <c r="H14">
        <v>47.5</v>
      </c>
      <c r="I14">
        <v>11.88</v>
      </c>
      <c r="J14">
        <v>35.619999999999997</v>
      </c>
      <c r="K14">
        <v>70</v>
      </c>
      <c r="L14">
        <v>180</v>
      </c>
    </row>
    <row r="15" spans="1:12" x14ac:dyDescent="0.35">
      <c r="A15" s="1">
        <v>45945.654085648152</v>
      </c>
      <c r="B15" s="2">
        <f t="shared" si="0"/>
        <v>0.65408564814814818</v>
      </c>
      <c r="C15" s="3">
        <f t="shared" si="1"/>
        <v>1.0289351851851869E-2</v>
      </c>
      <c r="D15" s="4">
        <f t="shared" si="2"/>
        <v>14.8</v>
      </c>
      <c r="E15">
        <v>138.4</v>
      </c>
      <c r="F15">
        <v>124.2</v>
      </c>
      <c r="G15">
        <v>4.58E-2</v>
      </c>
      <c r="H15">
        <v>47.5</v>
      </c>
      <c r="I15">
        <v>11.92</v>
      </c>
      <c r="J15">
        <v>35.58</v>
      </c>
      <c r="K15">
        <v>70</v>
      </c>
      <c r="L15">
        <v>180</v>
      </c>
    </row>
    <row r="16" spans="1:12" x14ac:dyDescent="0.35">
      <c r="A16" s="1">
        <v>45945.654849537037</v>
      </c>
      <c r="B16" s="2">
        <f t="shared" si="0"/>
        <v>0.65484953703703708</v>
      </c>
      <c r="C16" s="3">
        <f t="shared" si="1"/>
        <v>1.1053240740740766E-2</v>
      </c>
      <c r="D16" s="4">
        <f t="shared" si="2"/>
        <v>15.9</v>
      </c>
      <c r="E16">
        <v>131.19999999999999</v>
      </c>
      <c r="F16">
        <v>122.4</v>
      </c>
      <c r="G16">
        <v>4.58E-2</v>
      </c>
      <c r="H16">
        <v>47.5</v>
      </c>
      <c r="I16">
        <v>11.75</v>
      </c>
      <c r="J16">
        <v>35.75</v>
      </c>
      <c r="K16">
        <v>70</v>
      </c>
      <c r="L16">
        <v>180</v>
      </c>
    </row>
    <row r="17" spans="1:12" x14ac:dyDescent="0.35">
      <c r="A17" s="1">
        <v>45945.655601851853</v>
      </c>
      <c r="B17" s="2">
        <f t="shared" si="0"/>
        <v>0.65560185185185182</v>
      </c>
      <c r="C17" s="3">
        <f t="shared" si="1"/>
        <v>1.1805555555555514E-2</v>
      </c>
      <c r="D17" s="4">
        <f t="shared" si="2"/>
        <v>17</v>
      </c>
      <c r="E17">
        <v>144.5</v>
      </c>
      <c r="F17">
        <v>115.7</v>
      </c>
      <c r="G17">
        <v>4.58E-2</v>
      </c>
      <c r="H17">
        <v>47.5</v>
      </c>
      <c r="I17">
        <v>11.1</v>
      </c>
      <c r="J17">
        <v>36.4</v>
      </c>
      <c r="K17">
        <v>70</v>
      </c>
      <c r="L17">
        <v>180</v>
      </c>
    </row>
    <row r="18" spans="1:12" x14ac:dyDescent="0.35">
      <c r="A18" s="1">
        <v>45945.656354166669</v>
      </c>
      <c r="B18" s="2">
        <f t="shared" si="0"/>
        <v>0.65635416666666668</v>
      </c>
      <c r="C18" s="3">
        <f t="shared" si="1"/>
        <v>1.2557870370370372E-2</v>
      </c>
      <c r="D18" s="4">
        <f t="shared" si="2"/>
        <v>18.100000000000001</v>
      </c>
      <c r="E18">
        <v>146.5</v>
      </c>
      <c r="F18">
        <v>123.8</v>
      </c>
      <c r="G18">
        <v>4.58E-2</v>
      </c>
      <c r="H18">
        <v>47.5</v>
      </c>
      <c r="I18">
        <v>11.88</v>
      </c>
      <c r="J18">
        <v>35.619999999999997</v>
      </c>
      <c r="K18">
        <v>70</v>
      </c>
      <c r="L18">
        <v>180</v>
      </c>
    </row>
    <row r="19" spans="1:12" x14ac:dyDescent="0.35">
      <c r="A19" s="1">
        <v>45945.657118055555</v>
      </c>
      <c r="B19" s="2">
        <f t="shared" si="0"/>
        <v>0.65711805555555558</v>
      </c>
      <c r="C19" s="3">
        <f t="shared" si="1"/>
        <v>1.3321759259259269E-2</v>
      </c>
      <c r="D19" s="4">
        <f t="shared" si="2"/>
        <v>19.2</v>
      </c>
      <c r="E19">
        <v>148.5</v>
      </c>
      <c r="F19">
        <v>124</v>
      </c>
      <c r="G19">
        <v>4.58E-2</v>
      </c>
      <c r="H19">
        <v>47.5</v>
      </c>
      <c r="I19">
        <v>11.9</v>
      </c>
      <c r="J19">
        <v>35.6</v>
      </c>
      <c r="K19">
        <v>70</v>
      </c>
      <c r="L19">
        <v>180</v>
      </c>
    </row>
    <row r="20" spans="1:12" x14ac:dyDescent="0.35">
      <c r="A20" s="1">
        <v>45945.657916666663</v>
      </c>
      <c r="B20" s="2">
        <f t="shared" si="0"/>
        <v>0.65791666666666671</v>
      </c>
      <c r="C20" s="3">
        <f t="shared" si="1"/>
        <v>1.4120370370370394E-2</v>
      </c>
      <c r="D20" s="4">
        <f t="shared" si="2"/>
        <v>20.3</v>
      </c>
      <c r="E20">
        <v>150.5</v>
      </c>
      <c r="F20">
        <v>116.9</v>
      </c>
      <c r="G20">
        <v>4.58E-2</v>
      </c>
      <c r="H20">
        <v>47.5</v>
      </c>
      <c r="I20">
        <v>11.22</v>
      </c>
      <c r="J20">
        <v>36.28</v>
      </c>
      <c r="K20">
        <v>70</v>
      </c>
      <c r="L20">
        <v>180</v>
      </c>
    </row>
    <row r="21" spans="1:12" x14ac:dyDescent="0.35">
      <c r="A21" s="1">
        <v>45945.658692129633</v>
      </c>
      <c r="B21" s="2">
        <f t="shared" si="0"/>
        <v>0.65869212962962964</v>
      </c>
      <c r="C21" s="3">
        <f t="shared" si="1"/>
        <v>1.489583333333333E-2</v>
      </c>
      <c r="D21" s="4">
        <f t="shared" si="2"/>
        <v>21.5</v>
      </c>
      <c r="E21">
        <v>152.5</v>
      </c>
      <c r="F21">
        <v>123.7</v>
      </c>
      <c r="G21">
        <v>4.58E-2</v>
      </c>
      <c r="H21">
        <v>47.5</v>
      </c>
      <c r="I21">
        <v>11.87</v>
      </c>
      <c r="J21">
        <v>35.630000000000003</v>
      </c>
      <c r="K21">
        <v>70</v>
      </c>
      <c r="L21">
        <v>180</v>
      </c>
    </row>
    <row r="22" spans="1:12" x14ac:dyDescent="0.35">
      <c r="A22" s="1">
        <v>45945.659456018519</v>
      </c>
      <c r="B22" s="2">
        <f t="shared" si="0"/>
        <v>0.65945601851851854</v>
      </c>
      <c r="C22" s="3">
        <f t="shared" si="1"/>
        <v>1.5659722222222228E-2</v>
      </c>
      <c r="D22" s="4">
        <f t="shared" si="2"/>
        <v>22.6</v>
      </c>
      <c r="E22">
        <v>154.4</v>
      </c>
      <c r="F22">
        <v>123.3</v>
      </c>
      <c r="G22">
        <v>5.7500000000000002E-2</v>
      </c>
      <c r="H22">
        <v>47.5</v>
      </c>
      <c r="I22">
        <v>11.83</v>
      </c>
      <c r="J22">
        <v>35.67</v>
      </c>
      <c r="K22">
        <v>70</v>
      </c>
      <c r="L22">
        <v>180</v>
      </c>
    </row>
    <row r="23" spans="1:12" x14ac:dyDescent="0.35">
      <c r="A23" s="1">
        <v>45945.660219907404</v>
      </c>
      <c r="B23" s="2">
        <f t="shared" si="0"/>
        <v>0.66021990740740744</v>
      </c>
      <c r="C23" s="3">
        <f t="shared" si="1"/>
        <v>1.6423611111111125E-2</v>
      </c>
      <c r="D23" s="4">
        <f t="shared" si="2"/>
        <v>23.7</v>
      </c>
      <c r="E23">
        <v>156.4</v>
      </c>
      <c r="F23">
        <v>119.9</v>
      </c>
      <c r="G23">
        <v>5.7500000000000002E-2</v>
      </c>
      <c r="H23">
        <v>47.5</v>
      </c>
      <c r="I23">
        <v>11.51</v>
      </c>
      <c r="J23">
        <v>35.99</v>
      </c>
      <c r="K23">
        <v>70</v>
      </c>
      <c r="L23">
        <v>180</v>
      </c>
    </row>
    <row r="24" spans="1:12" x14ac:dyDescent="0.35">
      <c r="A24" s="1">
        <v>45945.660983796297</v>
      </c>
      <c r="B24" s="2">
        <f t="shared" si="0"/>
        <v>0.66098379629629633</v>
      </c>
      <c r="C24" s="3">
        <f t="shared" si="1"/>
        <v>1.7187500000000022E-2</v>
      </c>
      <c r="D24" s="4">
        <f t="shared" si="2"/>
        <v>24.8</v>
      </c>
      <c r="E24">
        <v>158.6</v>
      </c>
      <c r="F24">
        <v>114.8</v>
      </c>
      <c r="G24">
        <v>5.7500000000000002E-2</v>
      </c>
      <c r="H24">
        <v>47.5</v>
      </c>
      <c r="I24">
        <v>11.02</v>
      </c>
      <c r="J24">
        <v>36.479999999999997</v>
      </c>
      <c r="K24">
        <v>70</v>
      </c>
      <c r="L24">
        <v>180</v>
      </c>
    </row>
    <row r="25" spans="1:12" x14ac:dyDescent="0.35">
      <c r="A25" s="1">
        <v>45945.661747685182</v>
      </c>
      <c r="B25" s="2">
        <f t="shared" si="0"/>
        <v>0.66174768518518523</v>
      </c>
      <c r="C25" s="3">
        <f t="shared" si="1"/>
        <v>1.7951388888888919E-2</v>
      </c>
      <c r="D25" s="4">
        <f t="shared" si="2"/>
        <v>25.9</v>
      </c>
      <c r="E25">
        <v>160.6</v>
      </c>
      <c r="F25">
        <v>122.5</v>
      </c>
      <c r="G25">
        <v>5.7500000000000002E-2</v>
      </c>
      <c r="H25">
        <v>47.5</v>
      </c>
      <c r="I25">
        <v>11.76</v>
      </c>
      <c r="J25">
        <v>35.74</v>
      </c>
      <c r="K25">
        <v>70</v>
      </c>
      <c r="L25">
        <v>180</v>
      </c>
    </row>
    <row r="26" spans="1:12" x14ac:dyDescent="0.35">
      <c r="A26" s="1">
        <v>45945.662523148145</v>
      </c>
      <c r="B26" s="2">
        <f t="shared" si="0"/>
        <v>0.66252314814814817</v>
      </c>
      <c r="C26" s="3">
        <f t="shared" si="1"/>
        <v>1.8726851851851856E-2</v>
      </c>
      <c r="D26" s="4">
        <f t="shared" si="2"/>
        <v>27</v>
      </c>
      <c r="E26">
        <v>162.5</v>
      </c>
      <c r="F26">
        <v>121.5</v>
      </c>
      <c r="G26">
        <v>5.7500000000000002E-2</v>
      </c>
      <c r="H26">
        <v>47.5</v>
      </c>
      <c r="I26">
        <v>11.66</v>
      </c>
      <c r="J26">
        <v>35.840000000000003</v>
      </c>
      <c r="K26">
        <v>70</v>
      </c>
      <c r="L26">
        <v>180</v>
      </c>
    </row>
    <row r="27" spans="1:12" x14ac:dyDescent="0.35">
      <c r="A27" s="1">
        <v>45945.663310185184</v>
      </c>
      <c r="B27" s="2">
        <f t="shared" si="0"/>
        <v>0.66331018518518514</v>
      </c>
      <c r="C27" s="3">
        <f t="shared" si="1"/>
        <v>1.9513888888888831E-2</v>
      </c>
      <c r="D27" s="4">
        <f t="shared" si="2"/>
        <v>28.1</v>
      </c>
      <c r="E27">
        <v>164.5</v>
      </c>
      <c r="F27">
        <v>124</v>
      </c>
      <c r="G27">
        <v>5.7500000000000002E-2</v>
      </c>
      <c r="H27">
        <v>47.5</v>
      </c>
      <c r="I27">
        <v>11.9</v>
      </c>
      <c r="J27">
        <v>35.6</v>
      </c>
      <c r="K27">
        <v>70</v>
      </c>
      <c r="L27">
        <v>180</v>
      </c>
    </row>
    <row r="28" spans="1:12" x14ac:dyDescent="0.35">
      <c r="A28" s="1">
        <v>45945.664201388892</v>
      </c>
      <c r="B28" s="2">
        <f t="shared" si="0"/>
        <v>0.66420138888888891</v>
      </c>
      <c r="C28" s="3">
        <f t="shared" si="1"/>
        <v>2.04050925925926E-2</v>
      </c>
      <c r="D28" s="4">
        <f t="shared" si="2"/>
        <v>29.4</v>
      </c>
      <c r="E28">
        <v>166.5</v>
      </c>
      <c r="F28">
        <v>123.1</v>
      </c>
      <c r="G28">
        <v>5.7500000000000002E-2</v>
      </c>
      <c r="H28">
        <v>47.5</v>
      </c>
      <c r="I28">
        <v>11.81</v>
      </c>
      <c r="J28">
        <v>35.69</v>
      </c>
      <c r="K28">
        <v>70</v>
      </c>
      <c r="L28">
        <v>180</v>
      </c>
    </row>
    <row r="29" spans="1:12" x14ac:dyDescent="0.35">
      <c r="A29" s="1">
        <v>45945.664953703701</v>
      </c>
      <c r="B29" s="2">
        <f t="shared" si="0"/>
        <v>0.66495370370370366</v>
      </c>
      <c r="C29" s="3">
        <f t="shared" si="1"/>
        <v>2.1157407407407347E-2</v>
      </c>
      <c r="D29" s="4">
        <f t="shared" si="2"/>
        <v>30.5</v>
      </c>
      <c r="E29">
        <v>132.80000000000001</v>
      </c>
      <c r="F29">
        <v>120.6</v>
      </c>
      <c r="G29">
        <v>5.7500000000000002E-2</v>
      </c>
      <c r="H29">
        <v>47.5</v>
      </c>
      <c r="I29">
        <v>11.57</v>
      </c>
      <c r="J29">
        <v>35.93</v>
      </c>
      <c r="K29">
        <v>70</v>
      </c>
      <c r="L29">
        <v>180</v>
      </c>
    </row>
    <row r="30" spans="1:12" x14ac:dyDescent="0.35">
      <c r="A30" s="1">
        <v>45945.66574074074</v>
      </c>
      <c r="B30" s="2">
        <f t="shared" si="0"/>
        <v>0.66574074074074074</v>
      </c>
      <c r="C30" s="3">
        <f t="shared" si="1"/>
        <v>2.1944444444444433E-2</v>
      </c>
      <c r="D30" s="4">
        <f t="shared" si="2"/>
        <v>31.6</v>
      </c>
      <c r="E30">
        <v>170.5</v>
      </c>
      <c r="F30">
        <v>118.2</v>
      </c>
      <c r="G30">
        <v>5.7500000000000002E-2</v>
      </c>
      <c r="H30">
        <v>47.5</v>
      </c>
      <c r="I30">
        <v>11.34</v>
      </c>
      <c r="J30">
        <v>36.159999999999997</v>
      </c>
      <c r="K30">
        <v>70</v>
      </c>
      <c r="L30">
        <v>180</v>
      </c>
    </row>
    <row r="31" spans="1:12" x14ac:dyDescent="0.35">
      <c r="A31" s="1">
        <v>45945.666504629633</v>
      </c>
      <c r="B31" s="2">
        <f t="shared" si="0"/>
        <v>0.66650462962962964</v>
      </c>
      <c r="C31" s="3">
        <f t="shared" si="1"/>
        <v>2.270833333333333E-2</v>
      </c>
      <c r="D31" s="4">
        <f t="shared" si="2"/>
        <v>32.700000000000003</v>
      </c>
      <c r="E31">
        <v>172.4</v>
      </c>
      <c r="F31">
        <v>118</v>
      </c>
      <c r="G31">
        <v>5.7500000000000002E-2</v>
      </c>
      <c r="H31">
        <v>47.5</v>
      </c>
      <c r="I31">
        <v>11.32</v>
      </c>
      <c r="J31">
        <v>36.18</v>
      </c>
      <c r="K31">
        <v>70</v>
      </c>
      <c r="L31">
        <v>180</v>
      </c>
    </row>
    <row r="32" spans="1:12" x14ac:dyDescent="0.35">
      <c r="A32" s="1">
        <v>45945.667280092595</v>
      </c>
      <c r="B32" s="2">
        <f t="shared" si="0"/>
        <v>0.66728009259259258</v>
      </c>
      <c r="C32" s="3">
        <f t="shared" si="1"/>
        <v>2.3483796296296267E-2</v>
      </c>
      <c r="D32" s="4">
        <f t="shared" si="2"/>
        <v>33.799999999999997</v>
      </c>
      <c r="E32">
        <v>135.19999999999999</v>
      </c>
      <c r="F32">
        <v>116.5</v>
      </c>
      <c r="G32">
        <v>0</v>
      </c>
      <c r="H32">
        <v>47.5</v>
      </c>
      <c r="I32">
        <v>11.18</v>
      </c>
      <c r="J32">
        <v>36.32</v>
      </c>
      <c r="K32">
        <v>70</v>
      </c>
      <c r="L32">
        <v>180</v>
      </c>
    </row>
    <row r="33" spans="1:12" x14ac:dyDescent="0.35">
      <c r="A33" s="1">
        <v>45945.668055555558</v>
      </c>
      <c r="B33" s="2">
        <f t="shared" si="0"/>
        <v>0.66805555555555551</v>
      </c>
      <c r="C33" s="3">
        <f t="shared" si="1"/>
        <v>2.4259259259259203E-2</v>
      </c>
      <c r="D33" s="4">
        <f t="shared" si="2"/>
        <v>34.9</v>
      </c>
      <c r="E33">
        <v>178.6</v>
      </c>
      <c r="F33">
        <v>117.9</v>
      </c>
      <c r="G33">
        <v>0</v>
      </c>
      <c r="H33">
        <v>47.5</v>
      </c>
      <c r="I33">
        <v>11.31</v>
      </c>
      <c r="J33">
        <v>36.19</v>
      </c>
      <c r="K33">
        <v>70</v>
      </c>
      <c r="L33">
        <v>180</v>
      </c>
    </row>
    <row r="34" spans="1:12" x14ac:dyDescent="0.35">
      <c r="A34" s="1">
        <v>45945.668865740743</v>
      </c>
      <c r="B34" s="2">
        <f t="shared" si="0"/>
        <v>0.66886574074074079</v>
      </c>
      <c r="C34" s="3">
        <f t="shared" si="1"/>
        <v>2.5069444444444478E-2</v>
      </c>
      <c r="D34" s="4">
        <f t="shared" si="2"/>
        <v>36.1</v>
      </c>
      <c r="E34">
        <v>180.5</v>
      </c>
      <c r="F34">
        <v>117.6</v>
      </c>
      <c r="G34">
        <v>0</v>
      </c>
      <c r="H34">
        <v>47.5</v>
      </c>
      <c r="I34">
        <v>11.28</v>
      </c>
      <c r="J34">
        <v>36.22</v>
      </c>
      <c r="K34">
        <v>70</v>
      </c>
      <c r="L34">
        <v>180</v>
      </c>
    </row>
    <row r="35" spans="1:12" x14ac:dyDescent="0.35">
      <c r="A35" s="1">
        <v>45945.669629629629</v>
      </c>
      <c r="B35" s="2">
        <f t="shared" si="0"/>
        <v>0.66962962962962957</v>
      </c>
      <c r="C35" s="3">
        <f t="shared" si="1"/>
        <v>2.5833333333333264E-2</v>
      </c>
      <c r="D35" s="4">
        <f t="shared" si="2"/>
        <v>37.200000000000003</v>
      </c>
      <c r="E35">
        <v>182.5</v>
      </c>
      <c r="F35">
        <v>123.6</v>
      </c>
      <c r="G35">
        <v>0</v>
      </c>
      <c r="H35">
        <v>47.5</v>
      </c>
      <c r="I35">
        <v>11.86</v>
      </c>
      <c r="J35">
        <v>35.64</v>
      </c>
      <c r="K35">
        <v>70</v>
      </c>
      <c r="L35">
        <v>180</v>
      </c>
    </row>
    <row r="36" spans="1:12" x14ac:dyDescent="0.35">
      <c r="A36" s="1">
        <v>45945.670393518521</v>
      </c>
      <c r="B36" s="2">
        <f t="shared" si="0"/>
        <v>0.67039351851851847</v>
      </c>
      <c r="C36" s="3">
        <f t="shared" si="1"/>
        <v>2.6597222222222161E-2</v>
      </c>
      <c r="D36" s="4">
        <f t="shared" si="2"/>
        <v>38.299999999999997</v>
      </c>
      <c r="E36">
        <v>184.5</v>
      </c>
      <c r="F36">
        <v>117.4</v>
      </c>
      <c r="G36">
        <v>0</v>
      </c>
      <c r="H36">
        <v>47.5</v>
      </c>
      <c r="I36">
        <v>11.27</v>
      </c>
      <c r="J36">
        <v>36.229999999999997</v>
      </c>
      <c r="K36">
        <v>70</v>
      </c>
      <c r="L36">
        <v>180</v>
      </c>
    </row>
    <row r="37" spans="1:12" x14ac:dyDescent="0.35">
      <c r="A37" s="1">
        <v>45945.67114583333</v>
      </c>
      <c r="B37" s="2">
        <f t="shared" si="0"/>
        <v>0.67114583333333333</v>
      </c>
      <c r="C37" s="3">
        <f t="shared" si="1"/>
        <v>2.7349537037037019E-2</v>
      </c>
      <c r="D37" s="4">
        <f t="shared" si="2"/>
        <v>39.4</v>
      </c>
      <c r="E37">
        <v>186.5</v>
      </c>
      <c r="F37">
        <v>119.8</v>
      </c>
      <c r="G37">
        <v>5.8299999999999998E-2</v>
      </c>
      <c r="H37">
        <v>47.5</v>
      </c>
      <c r="I37">
        <v>11.5</v>
      </c>
      <c r="J37">
        <v>36</v>
      </c>
      <c r="K37">
        <v>70</v>
      </c>
      <c r="L37">
        <v>180</v>
      </c>
    </row>
    <row r="38" spans="1:12" x14ac:dyDescent="0.35">
      <c r="A38" s="1">
        <v>45945.671898148146</v>
      </c>
      <c r="B38" s="2">
        <f t="shared" si="0"/>
        <v>0.67189814814814819</v>
      </c>
      <c r="C38" s="3">
        <f t="shared" si="1"/>
        <v>2.8101851851851878E-2</v>
      </c>
      <c r="D38" s="4">
        <f t="shared" si="2"/>
        <v>40.5</v>
      </c>
      <c r="E38">
        <v>188.5</v>
      </c>
      <c r="F38">
        <v>120.9</v>
      </c>
      <c r="G38">
        <v>5.8299999999999998E-2</v>
      </c>
      <c r="H38">
        <v>47.5</v>
      </c>
      <c r="I38">
        <v>11.6</v>
      </c>
      <c r="J38">
        <v>35.9</v>
      </c>
      <c r="K38">
        <v>70</v>
      </c>
      <c r="L38">
        <v>180</v>
      </c>
    </row>
    <row r="39" spans="1:12" x14ac:dyDescent="0.35">
      <c r="A39" s="1">
        <v>45945.672650462962</v>
      </c>
      <c r="B39" s="2">
        <f t="shared" si="0"/>
        <v>0.67265046296296294</v>
      </c>
      <c r="C39" s="3">
        <f t="shared" si="1"/>
        <v>2.8854166666666625E-2</v>
      </c>
      <c r="D39" s="4">
        <f t="shared" si="2"/>
        <v>41.6</v>
      </c>
      <c r="E39">
        <v>190.4</v>
      </c>
      <c r="F39">
        <v>114.9</v>
      </c>
      <c r="G39">
        <v>5.8299999999999998E-2</v>
      </c>
      <c r="H39">
        <v>47.5</v>
      </c>
      <c r="I39">
        <v>11.03</v>
      </c>
      <c r="J39">
        <v>36.47</v>
      </c>
      <c r="K39">
        <v>70</v>
      </c>
      <c r="L39">
        <v>180</v>
      </c>
    </row>
    <row r="40" spans="1:12" x14ac:dyDescent="0.35">
      <c r="A40" s="1">
        <v>45945.673402777778</v>
      </c>
      <c r="B40" s="2">
        <f t="shared" si="0"/>
        <v>0.67340277777777779</v>
      </c>
      <c r="C40" s="3">
        <f t="shared" si="1"/>
        <v>2.9606481481481484E-2</v>
      </c>
      <c r="D40" s="4">
        <f t="shared" si="2"/>
        <v>42.6</v>
      </c>
      <c r="E40">
        <v>192.4</v>
      </c>
      <c r="F40">
        <v>116.7</v>
      </c>
      <c r="G40">
        <v>5.8299999999999998E-2</v>
      </c>
      <c r="H40">
        <v>47.5</v>
      </c>
      <c r="I40">
        <v>11.2</v>
      </c>
      <c r="J40">
        <v>36.299999999999997</v>
      </c>
      <c r="K40">
        <v>70</v>
      </c>
      <c r="L40">
        <v>180</v>
      </c>
    </row>
    <row r="41" spans="1:12" x14ac:dyDescent="0.35">
      <c r="A41" s="1">
        <v>45945.674155092594</v>
      </c>
      <c r="B41" s="2">
        <f t="shared" si="0"/>
        <v>0.67415509259259254</v>
      </c>
      <c r="C41" s="3">
        <f t="shared" si="1"/>
        <v>3.0358796296296231E-2</v>
      </c>
      <c r="D41" s="4">
        <f t="shared" si="2"/>
        <v>43.7</v>
      </c>
      <c r="E41">
        <v>194.6</v>
      </c>
      <c r="F41">
        <v>120.3</v>
      </c>
      <c r="G41">
        <v>5.8299999999999998E-2</v>
      </c>
      <c r="H41">
        <v>47.5</v>
      </c>
      <c r="I41">
        <v>11.54</v>
      </c>
      <c r="J41">
        <v>35.96</v>
      </c>
      <c r="K41">
        <v>70</v>
      </c>
      <c r="L41">
        <v>180</v>
      </c>
    </row>
    <row r="42" spans="1:12" x14ac:dyDescent="0.35">
      <c r="A42" s="1">
        <v>45945.674907407411</v>
      </c>
      <c r="B42" s="2">
        <f t="shared" si="0"/>
        <v>0.6749074074074074</v>
      </c>
      <c r="C42" s="3">
        <f t="shared" si="1"/>
        <v>3.1111111111111089E-2</v>
      </c>
      <c r="D42" s="4">
        <f t="shared" si="2"/>
        <v>44.8</v>
      </c>
      <c r="E42">
        <v>196.6</v>
      </c>
      <c r="F42">
        <v>121.8</v>
      </c>
      <c r="G42">
        <v>5.8299999999999998E-2</v>
      </c>
      <c r="H42">
        <v>47.5</v>
      </c>
      <c r="I42">
        <v>11.69</v>
      </c>
      <c r="J42">
        <v>35.81</v>
      </c>
      <c r="K42">
        <v>70</v>
      </c>
      <c r="L42">
        <v>180</v>
      </c>
    </row>
    <row r="43" spans="1:12" x14ac:dyDescent="0.35">
      <c r="A43" s="1">
        <v>45945.675659722219</v>
      </c>
      <c r="B43" s="2">
        <f t="shared" si="0"/>
        <v>0.67565972222222226</v>
      </c>
      <c r="C43" s="3">
        <f t="shared" si="1"/>
        <v>3.1863425925925948E-2</v>
      </c>
      <c r="D43" s="4">
        <f t="shared" si="2"/>
        <v>45.9</v>
      </c>
      <c r="E43">
        <v>198.5</v>
      </c>
      <c r="F43">
        <v>119.8</v>
      </c>
      <c r="G43">
        <v>5.8299999999999998E-2</v>
      </c>
      <c r="H43">
        <v>47.5</v>
      </c>
      <c r="I43">
        <v>11.5</v>
      </c>
      <c r="J43">
        <v>36</v>
      </c>
      <c r="K43">
        <v>70</v>
      </c>
      <c r="L43">
        <v>180</v>
      </c>
    </row>
    <row r="44" spans="1:12" x14ac:dyDescent="0.35">
      <c r="A44" s="1">
        <v>45945.676412037035</v>
      </c>
      <c r="B44" s="2">
        <f t="shared" si="0"/>
        <v>0.67641203703703701</v>
      </c>
      <c r="C44" s="3">
        <f t="shared" si="1"/>
        <v>3.2615740740740695E-2</v>
      </c>
      <c r="D44" s="4">
        <f t="shared" si="2"/>
        <v>47</v>
      </c>
      <c r="E44">
        <v>200.5</v>
      </c>
      <c r="F44">
        <v>118.6</v>
      </c>
      <c r="G44">
        <v>5.8299999999999998E-2</v>
      </c>
      <c r="H44">
        <v>47.5</v>
      </c>
      <c r="I44">
        <v>11.38</v>
      </c>
      <c r="J44">
        <v>36.119999999999997</v>
      </c>
      <c r="K44">
        <v>70</v>
      </c>
      <c r="L44">
        <v>180</v>
      </c>
    </row>
    <row r="45" spans="1:12" x14ac:dyDescent="0.35">
      <c r="A45" s="1">
        <v>45945.677164351851</v>
      </c>
      <c r="B45" s="2">
        <f t="shared" si="0"/>
        <v>0.67716435185185186</v>
      </c>
      <c r="C45" s="3">
        <f t="shared" si="1"/>
        <v>3.3368055555555554E-2</v>
      </c>
      <c r="D45" s="4">
        <f t="shared" si="2"/>
        <v>48.1</v>
      </c>
      <c r="E45">
        <v>202.5</v>
      </c>
      <c r="F45">
        <v>120.4</v>
      </c>
      <c r="G45">
        <v>5.8299999999999998E-2</v>
      </c>
      <c r="H45">
        <v>47.5</v>
      </c>
      <c r="I45">
        <v>11.55</v>
      </c>
      <c r="J45">
        <v>35.950000000000003</v>
      </c>
      <c r="K45">
        <v>70</v>
      </c>
      <c r="L45">
        <v>180</v>
      </c>
    </row>
    <row r="46" spans="1:12" x14ac:dyDescent="0.35">
      <c r="A46" s="1">
        <v>45945.677928240744</v>
      </c>
      <c r="B46" s="2">
        <f t="shared" si="0"/>
        <v>0.67792824074074076</v>
      </c>
      <c r="C46" s="3">
        <f t="shared" si="1"/>
        <v>3.4131944444444451E-2</v>
      </c>
      <c r="D46" s="4">
        <f t="shared" si="2"/>
        <v>49.2</v>
      </c>
      <c r="E46">
        <v>204.5</v>
      </c>
      <c r="F46">
        <v>113.8</v>
      </c>
      <c r="G46">
        <v>5.8299999999999998E-2</v>
      </c>
      <c r="H46">
        <v>47.5</v>
      </c>
      <c r="I46">
        <v>10.92</v>
      </c>
      <c r="J46">
        <v>36.58</v>
      </c>
      <c r="K46">
        <v>70</v>
      </c>
      <c r="L46">
        <v>180</v>
      </c>
    </row>
    <row r="47" spans="1:12" x14ac:dyDescent="0.35">
      <c r="A47" s="1">
        <v>45945.67869212963</v>
      </c>
      <c r="B47" s="2">
        <f t="shared" si="0"/>
        <v>0.67869212962962966</v>
      </c>
      <c r="C47" s="3">
        <f t="shared" si="1"/>
        <v>3.4895833333333348E-2</v>
      </c>
      <c r="D47" s="4">
        <f t="shared" si="2"/>
        <v>50.3</v>
      </c>
      <c r="E47">
        <v>206.5</v>
      </c>
      <c r="F47">
        <v>115.7</v>
      </c>
      <c r="G47">
        <v>5.8299999999999998E-2</v>
      </c>
      <c r="H47">
        <v>47.5</v>
      </c>
      <c r="I47">
        <v>11.1</v>
      </c>
      <c r="J47">
        <v>36.4</v>
      </c>
      <c r="K47">
        <v>70</v>
      </c>
      <c r="L47">
        <v>180</v>
      </c>
    </row>
    <row r="48" spans="1:12" x14ac:dyDescent="0.35">
      <c r="A48" s="1">
        <v>45945.679444444446</v>
      </c>
      <c r="B48" s="2">
        <f t="shared" si="0"/>
        <v>0.67944444444444441</v>
      </c>
      <c r="C48" s="3">
        <f t="shared" si="1"/>
        <v>3.5648148148148096E-2</v>
      </c>
      <c r="D48" s="4">
        <f t="shared" si="2"/>
        <v>51.3</v>
      </c>
      <c r="E48">
        <v>208.4</v>
      </c>
      <c r="F48">
        <v>113.1</v>
      </c>
      <c r="G48">
        <v>5.8299999999999998E-2</v>
      </c>
      <c r="H48">
        <v>47.5</v>
      </c>
      <c r="I48">
        <v>10.85</v>
      </c>
      <c r="J48">
        <v>36.65</v>
      </c>
      <c r="K48">
        <v>70</v>
      </c>
      <c r="L48">
        <v>180</v>
      </c>
    </row>
    <row r="49" spans="1:12" x14ac:dyDescent="0.35">
      <c r="A49" s="1">
        <v>45945.680196759262</v>
      </c>
      <c r="B49" s="2">
        <f t="shared" si="0"/>
        <v>0.68019675925925926</v>
      </c>
      <c r="C49" s="3">
        <f t="shared" si="1"/>
        <v>3.6400462962962954E-2</v>
      </c>
      <c r="D49" s="4">
        <f t="shared" si="2"/>
        <v>52.4</v>
      </c>
      <c r="E49">
        <v>131.6</v>
      </c>
      <c r="F49">
        <v>118.5</v>
      </c>
      <c r="G49">
        <v>5.8299999999999998E-2</v>
      </c>
      <c r="H49">
        <v>47.5</v>
      </c>
      <c r="I49">
        <v>11.37</v>
      </c>
      <c r="J49">
        <v>36.130000000000003</v>
      </c>
      <c r="K49">
        <v>70</v>
      </c>
      <c r="L49">
        <v>180</v>
      </c>
    </row>
    <row r="50" spans="1:12" x14ac:dyDescent="0.35">
      <c r="A50" s="1">
        <v>45945.680960648147</v>
      </c>
      <c r="B50" s="2">
        <f t="shared" si="0"/>
        <v>0.68096064814814816</v>
      </c>
      <c r="C50" s="3">
        <f t="shared" si="1"/>
        <v>3.7164351851851851E-2</v>
      </c>
      <c r="D50" s="4">
        <f t="shared" si="2"/>
        <v>53.5</v>
      </c>
      <c r="E50">
        <v>212.6</v>
      </c>
      <c r="F50">
        <v>119.8</v>
      </c>
      <c r="G50">
        <v>5.8299999999999998E-2</v>
      </c>
      <c r="H50">
        <v>47.5</v>
      </c>
      <c r="I50">
        <v>11.5</v>
      </c>
      <c r="J50">
        <v>36</v>
      </c>
      <c r="K50">
        <v>70</v>
      </c>
      <c r="L50">
        <v>180</v>
      </c>
    </row>
    <row r="51" spans="1:12" x14ac:dyDescent="0.35">
      <c r="A51" s="1">
        <v>45945.681712962964</v>
      </c>
      <c r="B51" s="2">
        <f t="shared" si="0"/>
        <v>0.68171296296296291</v>
      </c>
      <c r="C51" s="3">
        <f t="shared" si="1"/>
        <v>3.7916666666666599E-2</v>
      </c>
      <c r="D51" s="4">
        <f t="shared" si="2"/>
        <v>54.6</v>
      </c>
      <c r="E51">
        <v>214.6</v>
      </c>
      <c r="F51">
        <v>115.1</v>
      </c>
      <c r="G51">
        <v>5.8299999999999998E-2</v>
      </c>
      <c r="H51">
        <v>47.5</v>
      </c>
      <c r="I51">
        <v>11.04</v>
      </c>
      <c r="J51">
        <v>36.46</v>
      </c>
      <c r="K51">
        <v>70</v>
      </c>
      <c r="L51">
        <v>180</v>
      </c>
    </row>
    <row r="52" spans="1:12" x14ac:dyDescent="0.35">
      <c r="A52" s="1">
        <v>45945.68246527778</v>
      </c>
      <c r="B52" s="2">
        <f t="shared" si="0"/>
        <v>0.68246527777777777</v>
      </c>
      <c r="C52" s="3">
        <f t="shared" si="1"/>
        <v>3.8668981481481457E-2</v>
      </c>
      <c r="D52" s="4">
        <f t="shared" si="2"/>
        <v>55.7</v>
      </c>
      <c r="E52">
        <v>216.5</v>
      </c>
      <c r="F52">
        <v>113.3</v>
      </c>
      <c r="G52">
        <v>5.8299999999999998E-2</v>
      </c>
      <c r="H52">
        <v>47.5</v>
      </c>
      <c r="I52">
        <v>10.87</v>
      </c>
      <c r="J52">
        <v>36.630000000000003</v>
      </c>
      <c r="K52">
        <v>70</v>
      </c>
      <c r="L52">
        <v>180</v>
      </c>
    </row>
    <row r="53" spans="1:12" x14ac:dyDescent="0.35">
      <c r="A53" s="1">
        <v>45945.683217592596</v>
      </c>
      <c r="B53" s="2">
        <f t="shared" si="0"/>
        <v>0.68321759259259263</v>
      </c>
      <c r="C53" s="3">
        <f t="shared" si="1"/>
        <v>3.9421296296296315E-2</v>
      </c>
      <c r="D53" s="4">
        <f t="shared" si="2"/>
        <v>56.8</v>
      </c>
      <c r="E53">
        <v>218.5</v>
      </c>
      <c r="F53">
        <v>118.1</v>
      </c>
      <c r="G53">
        <v>5.8299999999999998E-2</v>
      </c>
      <c r="H53">
        <v>47.5</v>
      </c>
      <c r="I53">
        <v>11.33</v>
      </c>
      <c r="J53">
        <v>36.17</v>
      </c>
      <c r="K53">
        <v>70</v>
      </c>
      <c r="L53">
        <v>180</v>
      </c>
    </row>
    <row r="54" spans="1:12" x14ac:dyDescent="0.35">
      <c r="A54" s="1">
        <v>45945.683969907404</v>
      </c>
      <c r="B54" s="2">
        <f t="shared" si="0"/>
        <v>0.68396990740740737</v>
      </c>
      <c r="C54" s="3">
        <f t="shared" si="1"/>
        <v>4.0173611111111063E-2</v>
      </c>
      <c r="D54" s="4">
        <f t="shared" si="2"/>
        <v>57.9</v>
      </c>
      <c r="E54">
        <v>220.5</v>
      </c>
      <c r="F54">
        <v>120.5</v>
      </c>
      <c r="G54">
        <v>5.8299999999999998E-2</v>
      </c>
      <c r="H54">
        <v>47.5</v>
      </c>
      <c r="I54">
        <v>11.56</v>
      </c>
      <c r="J54">
        <v>35.94</v>
      </c>
      <c r="K54">
        <v>70</v>
      </c>
      <c r="L54">
        <v>180</v>
      </c>
    </row>
    <row r="55" spans="1:12" x14ac:dyDescent="0.35">
      <c r="A55" s="1">
        <v>45945.68472222222</v>
      </c>
      <c r="B55" s="2">
        <f t="shared" si="0"/>
        <v>0.68472222222222223</v>
      </c>
      <c r="C55" s="3">
        <f t="shared" si="1"/>
        <v>4.0925925925925921E-2</v>
      </c>
      <c r="D55" s="4">
        <f t="shared" si="2"/>
        <v>58.9</v>
      </c>
      <c r="E55">
        <v>222.5</v>
      </c>
      <c r="F55">
        <v>115.3</v>
      </c>
      <c r="G55">
        <v>5.8299999999999998E-2</v>
      </c>
      <c r="H55">
        <v>47.5</v>
      </c>
      <c r="I55">
        <v>11.06</v>
      </c>
      <c r="J55">
        <v>36.44</v>
      </c>
      <c r="K55">
        <v>70</v>
      </c>
      <c r="L55">
        <v>180</v>
      </c>
    </row>
    <row r="56" spans="1:12" x14ac:dyDescent="0.35">
      <c r="A56" s="1">
        <v>45945.685474537036</v>
      </c>
      <c r="B56" s="2">
        <f t="shared" si="0"/>
        <v>0.68547453703703709</v>
      </c>
      <c r="C56" s="3">
        <f t="shared" si="1"/>
        <v>4.167824074074078E-2</v>
      </c>
      <c r="D56" s="4">
        <f t="shared" si="2"/>
        <v>60</v>
      </c>
      <c r="E56">
        <v>224.5</v>
      </c>
      <c r="F56">
        <v>120</v>
      </c>
      <c r="G56">
        <v>5.8299999999999998E-2</v>
      </c>
      <c r="H56">
        <v>47.5</v>
      </c>
      <c r="I56">
        <v>11.52</v>
      </c>
      <c r="J56">
        <v>35.979999999999997</v>
      </c>
      <c r="K56">
        <v>70</v>
      </c>
      <c r="L56">
        <v>180</v>
      </c>
    </row>
    <row r="57" spans="1:12" x14ac:dyDescent="0.35">
      <c r="A57" s="1">
        <v>45945.686226851853</v>
      </c>
      <c r="B57" s="2">
        <f t="shared" si="0"/>
        <v>0.68622685185185184</v>
      </c>
      <c r="C57" s="3">
        <f t="shared" si="1"/>
        <v>4.2430555555555527E-2</v>
      </c>
      <c r="D57" s="4">
        <f t="shared" si="2"/>
        <v>61.1</v>
      </c>
      <c r="E57">
        <v>226.4</v>
      </c>
      <c r="F57">
        <v>118.3</v>
      </c>
      <c r="G57">
        <v>5.8299999999999998E-2</v>
      </c>
      <c r="H57">
        <v>47.5</v>
      </c>
      <c r="I57">
        <v>11.35</v>
      </c>
      <c r="J57">
        <v>36.15</v>
      </c>
      <c r="K57">
        <v>70</v>
      </c>
      <c r="L57">
        <v>180</v>
      </c>
    </row>
    <row r="58" spans="1:12" x14ac:dyDescent="0.35">
      <c r="A58" s="1">
        <v>45945.687048611115</v>
      </c>
      <c r="B58" s="2">
        <f t="shared" si="0"/>
        <v>0.68704861111111115</v>
      </c>
      <c r="C58" s="3">
        <f t="shared" si="1"/>
        <v>4.3252314814814841E-2</v>
      </c>
      <c r="D58" s="4">
        <f t="shared" si="2"/>
        <v>62.3</v>
      </c>
      <c r="E58">
        <v>230.6</v>
      </c>
      <c r="F58">
        <v>114.3</v>
      </c>
      <c r="G58">
        <v>5.8299999999999998E-2</v>
      </c>
      <c r="H58">
        <v>47.5</v>
      </c>
      <c r="I58">
        <v>10.97</v>
      </c>
      <c r="J58">
        <v>36.53</v>
      </c>
      <c r="K58">
        <v>70</v>
      </c>
      <c r="L58">
        <v>180</v>
      </c>
    </row>
    <row r="59" spans="1:12" x14ac:dyDescent="0.35">
      <c r="A59" s="1">
        <v>45945.6878125</v>
      </c>
      <c r="B59" s="2">
        <f t="shared" si="0"/>
        <v>0.68781250000000005</v>
      </c>
      <c r="C59" s="3">
        <f t="shared" si="1"/>
        <v>4.4016203703703738E-2</v>
      </c>
      <c r="D59" s="4">
        <f t="shared" si="2"/>
        <v>63.4</v>
      </c>
      <c r="E59">
        <v>232.6</v>
      </c>
      <c r="F59">
        <v>118.1</v>
      </c>
      <c r="G59">
        <v>5.8299999999999998E-2</v>
      </c>
      <c r="H59">
        <v>47.5</v>
      </c>
      <c r="I59">
        <v>11.33</v>
      </c>
      <c r="J59">
        <v>36.17</v>
      </c>
      <c r="K59">
        <v>70</v>
      </c>
      <c r="L59">
        <v>180</v>
      </c>
    </row>
    <row r="60" spans="1:12" x14ac:dyDescent="0.35">
      <c r="A60" s="1">
        <v>45945.688599537039</v>
      </c>
      <c r="B60" s="2">
        <f t="shared" si="0"/>
        <v>0.68859953703703702</v>
      </c>
      <c r="C60" s="3">
        <f t="shared" si="1"/>
        <v>4.4803240740740713E-2</v>
      </c>
      <c r="D60" s="4">
        <f t="shared" si="2"/>
        <v>64.5</v>
      </c>
      <c r="E60">
        <v>234.5</v>
      </c>
      <c r="F60">
        <v>112.8</v>
      </c>
      <c r="G60">
        <v>5.8299999999999998E-2</v>
      </c>
      <c r="H60">
        <v>47.5</v>
      </c>
      <c r="I60">
        <v>10.82</v>
      </c>
      <c r="J60">
        <v>36.68</v>
      </c>
      <c r="K60">
        <v>70</v>
      </c>
      <c r="L60">
        <v>180</v>
      </c>
    </row>
    <row r="61" spans="1:12" x14ac:dyDescent="0.35">
      <c r="A61" s="1">
        <v>45945.689351851855</v>
      </c>
      <c r="B61" s="2">
        <f t="shared" si="0"/>
        <v>0.68935185185185188</v>
      </c>
      <c r="C61" s="3">
        <f t="shared" si="1"/>
        <v>4.5555555555555571E-2</v>
      </c>
      <c r="D61" s="4">
        <f t="shared" si="2"/>
        <v>65.599999999999994</v>
      </c>
      <c r="E61">
        <v>236.5</v>
      </c>
      <c r="F61">
        <v>112.3</v>
      </c>
      <c r="G61">
        <v>5.8299999999999998E-2</v>
      </c>
      <c r="H61">
        <v>47.5</v>
      </c>
      <c r="I61">
        <v>10.78</v>
      </c>
      <c r="J61">
        <v>36.72</v>
      </c>
      <c r="K61">
        <v>70</v>
      </c>
      <c r="L61">
        <v>180</v>
      </c>
    </row>
    <row r="62" spans="1:12" x14ac:dyDescent="0.35">
      <c r="A62" s="1">
        <v>45945.690115740741</v>
      </c>
      <c r="B62" s="2">
        <f t="shared" si="0"/>
        <v>0.69011574074074078</v>
      </c>
      <c r="C62" s="3">
        <f t="shared" si="1"/>
        <v>4.6319444444444469E-2</v>
      </c>
      <c r="D62" s="4">
        <f t="shared" si="2"/>
        <v>66.7</v>
      </c>
      <c r="E62">
        <v>238.5</v>
      </c>
      <c r="F62">
        <v>119.4</v>
      </c>
      <c r="G62">
        <v>5.8299999999999998E-2</v>
      </c>
      <c r="H62">
        <v>47.5</v>
      </c>
      <c r="I62">
        <v>11.46</v>
      </c>
      <c r="J62">
        <v>36.04</v>
      </c>
      <c r="K62">
        <v>70</v>
      </c>
      <c r="L62">
        <v>180</v>
      </c>
    </row>
    <row r="63" spans="1:12" x14ac:dyDescent="0.35">
      <c r="A63" s="1">
        <v>45945.690868055557</v>
      </c>
      <c r="B63" s="2">
        <f t="shared" si="0"/>
        <v>0.69086805555555553</v>
      </c>
      <c r="C63" s="3">
        <f t="shared" si="1"/>
        <v>4.7071759259259216E-2</v>
      </c>
      <c r="D63" s="4">
        <f t="shared" si="2"/>
        <v>67.8</v>
      </c>
      <c r="E63">
        <v>240.5</v>
      </c>
      <c r="F63">
        <v>118.4</v>
      </c>
      <c r="G63">
        <v>5.8299999999999998E-2</v>
      </c>
      <c r="H63">
        <v>47.5</v>
      </c>
      <c r="I63">
        <v>11.36</v>
      </c>
      <c r="J63">
        <v>36.14</v>
      </c>
      <c r="K63">
        <v>70</v>
      </c>
      <c r="L63">
        <v>180</v>
      </c>
    </row>
    <row r="64" spans="1:12" x14ac:dyDescent="0.35">
      <c r="A64" s="1">
        <v>45945.691620370373</v>
      </c>
      <c r="B64" s="2">
        <f t="shared" si="0"/>
        <v>0.69162037037037039</v>
      </c>
      <c r="C64" s="3">
        <f t="shared" si="1"/>
        <v>4.7824074074074074E-2</v>
      </c>
      <c r="D64" s="4">
        <f t="shared" si="2"/>
        <v>68.900000000000006</v>
      </c>
      <c r="E64">
        <v>242.5</v>
      </c>
      <c r="F64">
        <v>112.5</v>
      </c>
      <c r="G64">
        <v>5.8299999999999998E-2</v>
      </c>
      <c r="H64">
        <v>47.5</v>
      </c>
      <c r="I64">
        <v>10.8</v>
      </c>
      <c r="J64">
        <v>36.700000000000003</v>
      </c>
      <c r="K64">
        <v>70</v>
      </c>
      <c r="L64">
        <v>180</v>
      </c>
    </row>
    <row r="65" spans="1:12" x14ac:dyDescent="0.35">
      <c r="A65" s="1">
        <v>45945.692372685182</v>
      </c>
      <c r="B65" s="2">
        <f t="shared" si="0"/>
        <v>0.69237268518518513</v>
      </c>
      <c r="C65" s="3">
        <f t="shared" si="1"/>
        <v>4.8576388888888822E-2</v>
      </c>
      <c r="D65" s="4">
        <f t="shared" si="2"/>
        <v>70</v>
      </c>
      <c r="E65">
        <v>244.4</v>
      </c>
      <c r="F65">
        <v>108.5</v>
      </c>
      <c r="G65">
        <v>5.8299999999999998E-2</v>
      </c>
      <c r="H65">
        <v>47.5</v>
      </c>
      <c r="I65">
        <v>10.41</v>
      </c>
      <c r="J65">
        <v>37.090000000000003</v>
      </c>
      <c r="K65">
        <v>70</v>
      </c>
      <c r="L65">
        <v>180</v>
      </c>
    </row>
    <row r="66" spans="1:12" x14ac:dyDescent="0.35">
      <c r="A66" s="1">
        <v>45945.693124999998</v>
      </c>
      <c r="B66" s="2">
        <f t="shared" si="0"/>
        <v>0.69312499999999999</v>
      </c>
      <c r="C66" s="3">
        <f t="shared" si="1"/>
        <v>4.932870370370368E-2</v>
      </c>
      <c r="D66" s="4">
        <f t="shared" si="2"/>
        <v>71</v>
      </c>
      <c r="E66">
        <v>246.4</v>
      </c>
      <c r="F66">
        <v>116.5</v>
      </c>
      <c r="G66">
        <v>5.8299999999999998E-2</v>
      </c>
      <c r="H66">
        <v>47.5</v>
      </c>
      <c r="I66">
        <v>11.18</v>
      </c>
      <c r="J66">
        <v>36.32</v>
      </c>
      <c r="K66">
        <v>70</v>
      </c>
      <c r="L66">
        <v>180</v>
      </c>
    </row>
    <row r="67" spans="1:12" x14ac:dyDescent="0.35">
      <c r="A67" s="1">
        <v>45945.693877314814</v>
      </c>
      <c r="B67" s="2">
        <f t="shared" ref="B67:B130" si="3">TIME(HOUR(A67), MINUTE(A67), SECOND(A67))</f>
        <v>0.69387731481481485</v>
      </c>
      <c r="C67" s="3">
        <f t="shared" si="1"/>
        <v>5.0081018518518539E-2</v>
      </c>
      <c r="D67" s="4">
        <f t="shared" si="2"/>
        <v>72.099999999999994</v>
      </c>
      <c r="E67">
        <v>248.6</v>
      </c>
      <c r="F67">
        <v>110.6</v>
      </c>
      <c r="G67">
        <v>5.8299999999999998E-2</v>
      </c>
      <c r="H67">
        <v>47.5</v>
      </c>
      <c r="I67">
        <v>10.61</v>
      </c>
      <c r="J67">
        <v>36.89</v>
      </c>
      <c r="K67">
        <v>70</v>
      </c>
      <c r="L67">
        <v>180</v>
      </c>
    </row>
    <row r="68" spans="1:12" x14ac:dyDescent="0.35">
      <c r="A68" s="1">
        <v>45945.694641203707</v>
      </c>
      <c r="B68" s="2">
        <f t="shared" si="3"/>
        <v>0.69464120370370375</v>
      </c>
      <c r="C68" s="3">
        <f t="shared" ref="C68:C131" si="4">B68-$B$2</f>
        <v>5.0844907407407436E-2</v>
      </c>
      <c r="D68" s="4">
        <f t="shared" ref="D68:D131" si="5">ROUND(HOUR(C68)*60 + MINUTE(C68) + SECOND(C68)/60, 1)</f>
        <v>73.2</v>
      </c>
      <c r="E68">
        <v>250.6</v>
      </c>
      <c r="F68">
        <v>108.4</v>
      </c>
      <c r="G68">
        <v>5.8299999999999998E-2</v>
      </c>
      <c r="H68">
        <v>47.5</v>
      </c>
      <c r="I68">
        <v>10.4</v>
      </c>
      <c r="J68">
        <v>37.1</v>
      </c>
      <c r="K68">
        <v>70</v>
      </c>
      <c r="L68">
        <v>180</v>
      </c>
    </row>
    <row r="69" spans="1:12" x14ac:dyDescent="0.35">
      <c r="A69" s="1">
        <v>45945.695405092592</v>
      </c>
      <c r="B69" s="2">
        <f t="shared" si="3"/>
        <v>0.69540509259259264</v>
      </c>
      <c r="C69" s="3">
        <f t="shared" si="4"/>
        <v>5.1608796296296333E-2</v>
      </c>
      <c r="D69" s="4">
        <f t="shared" si="5"/>
        <v>74.3</v>
      </c>
      <c r="E69">
        <v>252.5</v>
      </c>
      <c r="F69">
        <v>115.9</v>
      </c>
      <c r="G69">
        <v>5.8299999999999998E-2</v>
      </c>
      <c r="H69">
        <v>47.5</v>
      </c>
      <c r="I69">
        <v>11.12</v>
      </c>
      <c r="J69">
        <v>36.380000000000003</v>
      </c>
      <c r="K69">
        <v>70</v>
      </c>
      <c r="L69">
        <v>180</v>
      </c>
    </row>
    <row r="70" spans="1:12" x14ac:dyDescent="0.35">
      <c r="A70" s="1">
        <v>45945.696157407408</v>
      </c>
      <c r="B70" s="2">
        <f t="shared" si="3"/>
        <v>0.69615740740740739</v>
      </c>
      <c r="C70" s="3">
        <f t="shared" si="4"/>
        <v>5.2361111111111081E-2</v>
      </c>
      <c r="D70" s="4">
        <f t="shared" si="5"/>
        <v>75.400000000000006</v>
      </c>
      <c r="E70">
        <v>254.5</v>
      </c>
      <c r="F70">
        <v>114.3</v>
      </c>
      <c r="G70">
        <v>5.8299999999999998E-2</v>
      </c>
      <c r="H70">
        <v>47.5</v>
      </c>
      <c r="I70">
        <v>10.97</v>
      </c>
      <c r="J70">
        <v>36.53</v>
      </c>
      <c r="K70">
        <v>70</v>
      </c>
      <c r="L70">
        <v>180</v>
      </c>
    </row>
    <row r="71" spans="1:12" x14ac:dyDescent="0.35">
      <c r="A71" s="1">
        <v>45945.696909722225</v>
      </c>
      <c r="B71" s="2">
        <f t="shared" si="3"/>
        <v>0.69690972222222225</v>
      </c>
      <c r="C71" s="3">
        <f t="shared" si="4"/>
        <v>5.3113425925925939E-2</v>
      </c>
      <c r="D71" s="4">
        <f t="shared" si="5"/>
        <v>76.5</v>
      </c>
      <c r="E71">
        <v>256.5</v>
      </c>
      <c r="F71">
        <v>113.9</v>
      </c>
      <c r="G71">
        <v>5.8299999999999998E-2</v>
      </c>
      <c r="H71">
        <v>47.5</v>
      </c>
      <c r="I71">
        <v>10.93</v>
      </c>
      <c r="J71">
        <v>36.57</v>
      </c>
      <c r="K71">
        <v>70</v>
      </c>
      <c r="L71">
        <v>180</v>
      </c>
    </row>
    <row r="72" spans="1:12" x14ac:dyDescent="0.35">
      <c r="A72" s="1">
        <v>45945.697662037041</v>
      </c>
      <c r="B72" s="2">
        <f t="shared" si="3"/>
        <v>0.697662037037037</v>
      </c>
      <c r="C72" s="3">
        <f t="shared" si="4"/>
        <v>5.3865740740740686E-2</v>
      </c>
      <c r="D72" s="4">
        <f t="shared" si="5"/>
        <v>77.599999999999994</v>
      </c>
      <c r="E72">
        <v>258.5</v>
      </c>
      <c r="F72">
        <v>108.5</v>
      </c>
      <c r="G72">
        <v>5.8299999999999998E-2</v>
      </c>
      <c r="H72">
        <v>47.5</v>
      </c>
      <c r="I72">
        <v>10.41</v>
      </c>
      <c r="J72">
        <v>37.090000000000003</v>
      </c>
      <c r="K72">
        <v>70</v>
      </c>
      <c r="L72">
        <v>180</v>
      </c>
    </row>
    <row r="73" spans="1:12" x14ac:dyDescent="0.35">
      <c r="A73" s="1">
        <v>45945.698437500003</v>
      </c>
      <c r="B73" s="2">
        <f t="shared" si="3"/>
        <v>0.69843750000000004</v>
      </c>
      <c r="C73" s="3">
        <f t="shared" si="4"/>
        <v>5.4641203703703733E-2</v>
      </c>
      <c r="D73" s="4">
        <f t="shared" si="5"/>
        <v>78.7</v>
      </c>
      <c r="E73">
        <v>260.5</v>
      </c>
      <c r="F73">
        <v>106.9</v>
      </c>
      <c r="G73">
        <v>5.8299999999999998E-2</v>
      </c>
      <c r="H73">
        <v>47.5</v>
      </c>
      <c r="I73">
        <v>10.26</v>
      </c>
      <c r="J73">
        <v>37.24</v>
      </c>
      <c r="K73">
        <v>70</v>
      </c>
      <c r="L73">
        <v>180</v>
      </c>
    </row>
    <row r="74" spans="1:12" x14ac:dyDescent="0.35">
      <c r="A74" s="1">
        <v>45945.699189814812</v>
      </c>
      <c r="B74" s="2">
        <f t="shared" si="3"/>
        <v>0.69918981481481479</v>
      </c>
      <c r="C74" s="3">
        <f t="shared" si="4"/>
        <v>5.5393518518518481E-2</v>
      </c>
      <c r="D74" s="4">
        <f t="shared" si="5"/>
        <v>79.8</v>
      </c>
      <c r="E74">
        <v>262.39999999999998</v>
      </c>
      <c r="F74">
        <v>111.1</v>
      </c>
      <c r="G74">
        <v>5.8299999999999998E-2</v>
      </c>
      <c r="H74">
        <v>47.5</v>
      </c>
      <c r="I74">
        <v>10.66</v>
      </c>
      <c r="J74">
        <v>36.840000000000003</v>
      </c>
      <c r="K74">
        <v>70</v>
      </c>
      <c r="L74">
        <v>180</v>
      </c>
    </row>
    <row r="75" spans="1:12" x14ac:dyDescent="0.35">
      <c r="A75" s="1">
        <v>45945.699942129628</v>
      </c>
      <c r="B75" s="2">
        <f t="shared" si="3"/>
        <v>0.69994212962962965</v>
      </c>
      <c r="C75" s="3">
        <f t="shared" si="4"/>
        <v>5.6145833333333339E-2</v>
      </c>
      <c r="D75" s="4">
        <f t="shared" si="5"/>
        <v>80.900000000000006</v>
      </c>
      <c r="E75">
        <v>264.39999999999998</v>
      </c>
      <c r="F75">
        <v>106.5</v>
      </c>
      <c r="G75">
        <v>5.8299999999999998E-2</v>
      </c>
      <c r="H75">
        <v>47.5</v>
      </c>
      <c r="I75">
        <v>10.220000000000001</v>
      </c>
      <c r="J75">
        <v>37.28</v>
      </c>
      <c r="K75">
        <v>70</v>
      </c>
      <c r="L75">
        <v>180</v>
      </c>
    </row>
    <row r="76" spans="1:12" x14ac:dyDescent="0.35">
      <c r="A76" s="1">
        <v>45945.700694444444</v>
      </c>
      <c r="B76" s="2">
        <f t="shared" si="3"/>
        <v>0.7006944444444444</v>
      </c>
      <c r="C76" s="3">
        <f t="shared" si="4"/>
        <v>5.6898148148148087E-2</v>
      </c>
      <c r="D76" s="4">
        <f t="shared" si="5"/>
        <v>81.900000000000006</v>
      </c>
      <c r="E76">
        <v>266.60000000000002</v>
      </c>
      <c r="F76">
        <v>112.5</v>
      </c>
      <c r="G76">
        <v>5.8299999999999998E-2</v>
      </c>
      <c r="H76">
        <v>47.5</v>
      </c>
      <c r="I76">
        <v>10.8</v>
      </c>
      <c r="J76">
        <v>36.700000000000003</v>
      </c>
      <c r="K76">
        <v>70</v>
      </c>
      <c r="L76">
        <v>180</v>
      </c>
    </row>
    <row r="77" spans="1:12" x14ac:dyDescent="0.35">
      <c r="A77" s="1">
        <v>45945.701458333337</v>
      </c>
      <c r="B77" s="2">
        <f t="shared" si="3"/>
        <v>0.70145833333333329</v>
      </c>
      <c r="C77" s="3">
        <f t="shared" si="4"/>
        <v>5.7662037037036984E-2</v>
      </c>
      <c r="D77" s="4">
        <f t="shared" si="5"/>
        <v>83</v>
      </c>
      <c r="E77">
        <v>268.60000000000002</v>
      </c>
      <c r="F77">
        <v>103.4</v>
      </c>
      <c r="G77">
        <v>5.8299999999999998E-2</v>
      </c>
      <c r="H77">
        <v>47.5</v>
      </c>
      <c r="I77">
        <v>9.92</v>
      </c>
      <c r="J77">
        <v>37.58</v>
      </c>
      <c r="K77">
        <v>70</v>
      </c>
      <c r="L77">
        <v>180</v>
      </c>
    </row>
    <row r="78" spans="1:12" x14ac:dyDescent="0.35">
      <c r="A78" s="1">
        <v>45945.702222222222</v>
      </c>
      <c r="B78" s="2">
        <f t="shared" si="3"/>
        <v>0.70222222222222219</v>
      </c>
      <c r="C78" s="3">
        <f t="shared" si="4"/>
        <v>5.8425925925925881E-2</v>
      </c>
      <c r="D78" s="4">
        <f t="shared" si="5"/>
        <v>84.1</v>
      </c>
      <c r="E78">
        <v>270.5</v>
      </c>
      <c r="F78">
        <v>105.2</v>
      </c>
      <c r="G78">
        <v>5.8299999999999998E-2</v>
      </c>
      <c r="H78">
        <v>47.5</v>
      </c>
      <c r="I78">
        <v>10.09</v>
      </c>
      <c r="J78">
        <v>37.409999999999997</v>
      </c>
      <c r="K78">
        <v>70</v>
      </c>
      <c r="L78">
        <v>180</v>
      </c>
    </row>
    <row r="79" spans="1:12" x14ac:dyDescent="0.35">
      <c r="A79" s="1">
        <v>45945.702986111108</v>
      </c>
      <c r="B79" s="2">
        <f t="shared" si="3"/>
        <v>0.70298611111111109</v>
      </c>
      <c r="C79" s="3">
        <f t="shared" si="4"/>
        <v>5.9189814814814778E-2</v>
      </c>
      <c r="D79" s="4">
        <f t="shared" si="5"/>
        <v>85.2</v>
      </c>
      <c r="E79">
        <v>272.5</v>
      </c>
      <c r="F79">
        <v>111.9</v>
      </c>
      <c r="G79">
        <v>5.8299999999999998E-2</v>
      </c>
      <c r="H79">
        <v>47.5</v>
      </c>
      <c r="I79">
        <v>10.74</v>
      </c>
      <c r="J79">
        <v>36.76</v>
      </c>
      <c r="K79">
        <v>70</v>
      </c>
      <c r="L79">
        <v>180</v>
      </c>
    </row>
    <row r="80" spans="1:12" x14ac:dyDescent="0.35">
      <c r="A80" s="1">
        <v>45945.703831018516</v>
      </c>
      <c r="B80" s="2">
        <f t="shared" si="3"/>
        <v>0.70383101851851848</v>
      </c>
      <c r="C80" s="3">
        <f t="shared" si="4"/>
        <v>6.003472222222217E-2</v>
      </c>
      <c r="D80" s="4">
        <f t="shared" si="5"/>
        <v>86.5</v>
      </c>
      <c r="E80">
        <v>276.5</v>
      </c>
      <c r="F80">
        <v>103.2</v>
      </c>
      <c r="G80">
        <v>5.8299999999999998E-2</v>
      </c>
      <c r="H80">
        <v>47.5</v>
      </c>
      <c r="I80">
        <v>9.9</v>
      </c>
      <c r="J80">
        <v>37.6</v>
      </c>
      <c r="K80">
        <v>70</v>
      </c>
      <c r="L80">
        <v>180</v>
      </c>
    </row>
    <row r="81" spans="1:12" x14ac:dyDescent="0.35">
      <c r="A81" s="1">
        <v>45945.704699074071</v>
      </c>
      <c r="B81" s="2">
        <f t="shared" si="3"/>
        <v>0.70469907407407406</v>
      </c>
      <c r="C81" s="3">
        <f t="shared" si="4"/>
        <v>6.090277777777775E-2</v>
      </c>
      <c r="D81" s="4">
        <f t="shared" si="5"/>
        <v>87.7</v>
      </c>
      <c r="E81">
        <v>278.5</v>
      </c>
      <c r="F81">
        <v>105.3</v>
      </c>
      <c r="G81">
        <v>5.8299999999999998E-2</v>
      </c>
      <c r="H81">
        <v>47.5</v>
      </c>
      <c r="I81">
        <v>10.1</v>
      </c>
      <c r="J81">
        <v>37.4</v>
      </c>
      <c r="K81">
        <v>70</v>
      </c>
      <c r="L81">
        <v>180</v>
      </c>
    </row>
    <row r="82" spans="1:12" x14ac:dyDescent="0.35">
      <c r="A82" s="1">
        <v>45945.705451388887</v>
      </c>
      <c r="B82" s="2">
        <f t="shared" si="3"/>
        <v>0.70545138888888892</v>
      </c>
      <c r="C82" s="3">
        <f t="shared" si="4"/>
        <v>6.1655092592592609E-2</v>
      </c>
      <c r="D82" s="4">
        <f t="shared" si="5"/>
        <v>88.8</v>
      </c>
      <c r="E82">
        <v>280.39999999999998</v>
      </c>
      <c r="F82">
        <v>107.2</v>
      </c>
      <c r="G82">
        <v>5.8299999999999998E-2</v>
      </c>
      <c r="H82">
        <v>47.5</v>
      </c>
      <c r="I82">
        <v>10.29</v>
      </c>
      <c r="J82">
        <v>37.21</v>
      </c>
      <c r="K82">
        <v>70</v>
      </c>
      <c r="L82">
        <v>180</v>
      </c>
    </row>
    <row r="83" spans="1:12" x14ac:dyDescent="0.35">
      <c r="A83" s="1">
        <v>45945.70621527778</v>
      </c>
      <c r="B83" s="2">
        <f t="shared" si="3"/>
        <v>0.70621527777777782</v>
      </c>
      <c r="C83" s="3">
        <f t="shared" si="4"/>
        <v>6.2418981481481506E-2</v>
      </c>
      <c r="D83" s="4">
        <f t="shared" si="5"/>
        <v>89.9</v>
      </c>
      <c r="E83">
        <v>282.39999999999998</v>
      </c>
      <c r="F83">
        <v>103.1</v>
      </c>
      <c r="G83">
        <v>5.8299999999999998E-2</v>
      </c>
      <c r="H83">
        <v>47.5</v>
      </c>
      <c r="I83">
        <v>9.89</v>
      </c>
      <c r="J83">
        <v>37.61</v>
      </c>
      <c r="K83">
        <v>70</v>
      </c>
      <c r="L83">
        <v>180</v>
      </c>
    </row>
    <row r="84" spans="1:12" x14ac:dyDescent="0.35">
      <c r="A84" s="1">
        <v>45945.706979166665</v>
      </c>
      <c r="B84" s="2">
        <f t="shared" si="3"/>
        <v>0.70697916666666671</v>
      </c>
      <c r="C84" s="3">
        <f t="shared" si="4"/>
        <v>6.3182870370370403E-2</v>
      </c>
      <c r="D84" s="4">
        <f t="shared" si="5"/>
        <v>91</v>
      </c>
      <c r="E84">
        <v>284.60000000000002</v>
      </c>
      <c r="F84">
        <v>105.9</v>
      </c>
      <c r="G84">
        <v>5.8299999999999998E-2</v>
      </c>
      <c r="H84">
        <v>47.5</v>
      </c>
      <c r="I84">
        <v>10.16</v>
      </c>
      <c r="J84">
        <v>37.340000000000003</v>
      </c>
      <c r="K84">
        <v>70</v>
      </c>
      <c r="L84">
        <v>180</v>
      </c>
    </row>
    <row r="85" spans="1:12" x14ac:dyDescent="0.35">
      <c r="A85" s="1">
        <v>45945.707731481481</v>
      </c>
      <c r="B85" s="2">
        <f t="shared" si="3"/>
        <v>0.70773148148148146</v>
      </c>
      <c r="C85" s="3">
        <f t="shared" si="4"/>
        <v>6.393518518518515E-2</v>
      </c>
      <c r="D85" s="4">
        <f t="shared" si="5"/>
        <v>92.1</v>
      </c>
      <c r="E85">
        <v>286.60000000000002</v>
      </c>
      <c r="F85">
        <v>101.8</v>
      </c>
      <c r="G85">
        <v>5.8299999999999998E-2</v>
      </c>
      <c r="H85">
        <v>47.5</v>
      </c>
      <c r="I85">
        <v>9.77</v>
      </c>
      <c r="J85">
        <v>37.729999999999997</v>
      </c>
      <c r="K85">
        <v>70</v>
      </c>
      <c r="L85">
        <v>180</v>
      </c>
    </row>
    <row r="86" spans="1:12" x14ac:dyDescent="0.35">
      <c r="A86" s="1">
        <v>45945.708483796298</v>
      </c>
      <c r="B86" s="2">
        <f t="shared" si="3"/>
        <v>0.70848379629629632</v>
      </c>
      <c r="C86" s="3">
        <f t="shared" si="4"/>
        <v>6.4687500000000009E-2</v>
      </c>
      <c r="D86" s="4">
        <f t="shared" si="5"/>
        <v>93.2</v>
      </c>
      <c r="E86">
        <v>288.5</v>
      </c>
      <c r="F86">
        <v>105</v>
      </c>
      <c r="G86">
        <v>5.8299999999999998E-2</v>
      </c>
      <c r="H86">
        <v>47.5</v>
      </c>
      <c r="I86">
        <v>10.08</v>
      </c>
      <c r="J86">
        <v>37.42</v>
      </c>
      <c r="K86">
        <v>70</v>
      </c>
      <c r="L86">
        <v>180</v>
      </c>
    </row>
    <row r="87" spans="1:12" x14ac:dyDescent="0.35">
      <c r="A87" s="1">
        <v>45945.709247685183</v>
      </c>
      <c r="B87" s="2">
        <f t="shared" si="3"/>
        <v>0.70924768518518522</v>
      </c>
      <c r="C87" s="3">
        <f t="shared" si="4"/>
        <v>6.5451388888888906E-2</v>
      </c>
      <c r="D87" s="4">
        <f t="shared" si="5"/>
        <v>94.3</v>
      </c>
      <c r="E87">
        <v>290.5</v>
      </c>
      <c r="F87">
        <v>104</v>
      </c>
      <c r="G87">
        <v>5.8299999999999998E-2</v>
      </c>
      <c r="H87">
        <v>47.5</v>
      </c>
      <c r="I87">
        <v>9.98</v>
      </c>
      <c r="J87">
        <v>37.520000000000003</v>
      </c>
      <c r="K87">
        <v>70</v>
      </c>
      <c r="L87">
        <v>180</v>
      </c>
    </row>
    <row r="88" spans="1:12" x14ac:dyDescent="0.35">
      <c r="A88" s="1">
        <v>45945.710069444445</v>
      </c>
      <c r="B88" s="2">
        <f t="shared" si="3"/>
        <v>0.71006944444444442</v>
      </c>
      <c r="C88" s="3">
        <f t="shared" si="4"/>
        <v>6.6273148148148109E-2</v>
      </c>
      <c r="D88" s="4">
        <f t="shared" si="5"/>
        <v>95.4</v>
      </c>
      <c r="E88">
        <v>292.5</v>
      </c>
      <c r="F88">
        <v>100.9</v>
      </c>
      <c r="G88">
        <v>5.8299999999999998E-2</v>
      </c>
      <c r="H88">
        <v>47.5</v>
      </c>
      <c r="I88">
        <v>9.68</v>
      </c>
      <c r="J88">
        <v>37.82</v>
      </c>
      <c r="K88">
        <v>70</v>
      </c>
      <c r="L88">
        <v>180</v>
      </c>
    </row>
    <row r="89" spans="1:12" x14ac:dyDescent="0.35">
      <c r="A89" s="1">
        <v>45945.710833333331</v>
      </c>
      <c r="B89" s="2">
        <f t="shared" si="3"/>
        <v>0.71083333333333332</v>
      </c>
      <c r="C89" s="3">
        <f t="shared" si="4"/>
        <v>6.7037037037037006E-2</v>
      </c>
      <c r="D89" s="4">
        <f t="shared" si="5"/>
        <v>96.5</v>
      </c>
      <c r="E89">
        <v>110.9</v>
      </c>
      <c r="F89">
        <v>104.5</v>
      </c>
      <c r="G89">
        <v>5.8299999999999998E-2</v>
      </c>
      <c r="H89">
        <v>47.5</v>
      </c>
      <c r="I89">
        <v>10.029999999999999</v>
      </c>
      <c r="J89">
        <v>37.47</v>
      </c>
      <c r="K89">
        <v>70</v>
      </c>
      <c r="L89">
        <v>180</v>
      </c>
    </row>
    <row r="90" spans="1:12" x14ac:dyDescent="0.35">
      <c r="A90" s="1">
        <v>45945.711608796293</v>
      </c>
      <c r="B90" s="2">
        <f t="shared" si="3"/>
        <v>0.71160879629629625</v>
      </c>
      <c r="C90" s="3">
        <f t="shared" si="4"/>
        <v>6.7812499999999942E-2</v>
      </c>
      <c r="D90" s="4">
        <f t="shared" si="5"/>
        <v>97.7</v>
      </c>
      <c r="E90">
        <v>296.5</v>
      </c>
      <c r="F90">
        <v>97.8</v>
      </c>
      <c r="G90">
        <v>5.8299999999999998E-2</v>
      </c>
      <c r="H90">
        <v>47.5</v>
      </c>
      <c r="I90">
        <v>9.3800000000000008</v>
      </c>
      <c r="J90">
        <v>38.119999999999997</v>
      </c>
      <c r="K90">
        <v>70</v>
      </c>
      <c r="L90">
        <v>180</v>
      </c>
    </row>
    <row r="91" spans="1:12" x14ac:dyDescent="0.35">
      <c r="A91" s="1">
        <v>45945.712372685186</v>
      </c>
      <c r="B91" s="2">
        <f t="shared" si="3"/>
        <v>0.71237268518518515</v>
      </c>
      <c r="C91" s="3">
        <f t="shared" si="4"/>
        <v>6.857638888888884E-2</v>
      </c>
      <c r="D91" s="4">
        <f t="shared" si="5"/>
        <v>98.8</v>
      </c>
      <c r="E91">
        <v>298.39999999999998</v>
      </c>
      <c r="F91">
        <v>104.5</v>
      </c>
      <c r="G91">
        <v>5.8299999999999998E-2</v>
      </c>
      <c r="H91">
        <v>47.5</v>
      </c>
      <c r="I91">
        <v>10.029999999999999</v>
      </c>
      <c r="J91">
        <v>37.47</v>
      </c>
      <c r="K91">
        <v>70</v>
      </c>
      <c r="L91">
        <v>180</v>
      </c>
    </row>
    <row r="92" spans="1:12" x14ac:dyDescent="0.35">
      <c r="A92" s="1">
        <v>45945.713125000002</v>
      </c>
      <c r="B92" s="2">
        <f t="shared" si="3"/>
        <v>0.71312500000000001</v>
      </c>
      <c r="C92" s="3">
        <f t="shared" si="4"/>
        <v>6.9328703703703698E-2</v>
      </c>
      <c r="D92" s="4">
        <f t="shared" si="5"/>
        <v>99.8</v>
      </c>
      <c r="E92">
        <v>300.10000000000002</v>
      </c>
      <c r="F92">
        <v>98.6</v>
      </c>
      <c r="G92">
        <v>5.8299999999999998E-2</v>
      </c>
      <c r="H92">
        <v>47.5</v>
      </c>
      <c r="I92">
        <v>9.4600000000000009</v>
      </c>
      <c r="J92">
        <v>38.04</v>
      </c>
      <c r="K92">
        <v>70</v>
      </c>
      <c r="L92">
        <v>180</v>
      </c>
    </row>
    <row r="93" spans="1:12" x14ac:dyDescent="0.35">
      <c r="A93" s="1">
        <v>45945.713888888888</v>
      </c>
      <c r="B93" s="2">
        <f t="shared" si="3"/>
        <v>0.71388888888888891</v>
      </c>
      <c r="C93" s="3">
        <f t="shared" si="4"/>
        <v>7.0092592592592595E-2</v>
      </c>
      <c r="D93" s="4">
        <f t="shared" si="5"/>
        <v>100.9</v>
      </c>
      <c r="E93">
        <v>300.10000000000002</v>
      </c>
      <c r="F93">
        <v>102.7</v>
      </c>
      <c r="G93">
        <v>5.8299999999999998E-2</v>
      </c>
      <c r="H93">
        <v>47.5</v>
      </c>
      <c r="I93">
        <v>9.86</v>
      </c>
      <c r="J93">
        <v>37.64</v>
      </c>
      <c r="K93">
        <v>70</v>
      </c>
      <c r="L93">
        <v>180</v>
      </c>
    </row>
    <row r="94" spans="1:12" x14ac:dyDescent="0.35">
      <c r="A94" s="1">
        <v>45945.71465277778</v>
      </c>
      <c r="B94" s="2">
        <f t="shared" si="3"/>
        <v>0.7146527777777778</v>
      </c>
      <c r="C94" s="3">
        <f t="shared" si="4"/>
        <v>7.0856481481481493E-2</v>
      </c>
      <c r="D94" s="4">
        <f t="shared" si="5"/>
        <v>102</v>
      </c>
      <c r="E94">
        <v>300.10000000000002</v>
      </c>
      <c r="F94">
        <v>96.9</v>
      </c>
      <c r="G94">
        <v>5.8299999999999998E-2</v>
      </c>
      <c r="H94">
        <v>47.5</v>
      </c>
      <c r="I94">
        <v>9.3000000000000007</v>
      </c>
      <c r="J94">
        <v>38.200000000000003</v>
      </c>
      <c r="K94">
        <v>70</v>
      </c>
      <c r="L94">
        <v>180</v>
      </c>
    </row>
    <row r="95" spans="1:12" x14ac:dyDescent="0.35">
      <c r="A95" s="1">
        <v>45945.715474537035</v>
      </c>
      <c r="B95" s="2">
        <f t="shared" si="3"/>
        <v>0.71547453703703701</v>
      </c>
      <c r="C95" s="3">
        <f t="shared" si="4"/>
        <v>7.1678240740740695E-2</v>
      </c>
      <c r="D95" s="4">
        <f t="shared" si="5"/>
        <v>103.2</v>
      </c>
      <c r="E95">
        <v>300.10000000000002</v>
      </c>
      <c r="F95">
        <v>93.5</v>
      </c>
      <c r="G95">
        <v>5.8299999999999998E-2</v>
      </c>
      <c r="H95">
        <v>47.5</v>
      </c>
      <c r="I95">
        <v>8.9700000000000006</v>
      </c>
      <c r="J95">
        <v>38.53</v>
      </c>
      <c r="K95">
        <v>70</v>
      </c>
      <c r="L95">
        <v>180</v>
      </c>
    </row>
    <row r="96" spans="1:12" x14ac:dyDescent="0.35">
      <c r="A96" s="1">
        <v>45945.716238425928</v>
      </c>
      <c r="B96" s="2">
        <f t="shared" si="3"/>
        <v>0.7162384259259259</v>
      </c>
      <c r="C96" s="3">
        <f t="shared" si="4"/>
        <v>7.2442129629629592E-2</v>
      </c>
      <c r="D96" s="4">
        <f t="shared" si="5"/>
        <v>104.3</v>
      </c>
      <c r="E96">
        <v>300.10000000000002</v>
      </c>
      <c r="F96">
        <v>92.7</v>
      </c>
      <c r="G96">
        <v>5.8299999999999998E-2</v>
      </c>
      <c r="H96">
        <v>47.5</v>
      </c>
      <c r="I96">
        <v>8.9</v>
      </c>
      <c r="J96">
        <v>38.6</v>
      </c>
      <c r="K96">
        <v>70</v>
      </c>
      <c r="L96">
        <v>180</v>
      </c>
    </row>
    <row r="97" spans="1:12" x14ac:dyDescent="0.35">
      <c r="A97" s="1">
        <v>45945.717013888891</v>
      </c>
      <c r="B97" s="2">
        <f t="shared" si="3"/>
        <v>0.71701388888888884</v>
      </c>
      <c r="C97" s="3">
        <f t="shared" si="4"/>
        <v>7.3217592592592529E-2</v>
      </c>
      <c r="D97" s="4">
        <f t="shared" si="5"/>
        <v>105.4</v>
      </c>
      <c r="E97">
        <v>300.10000000000002</v>
      </c>
      <c r="F97">
        <v>94.7</v>
      </c>
      <c r="G97">
        <v>5.8299999999999998E-2</v>
      </c>
      <c r="H97">
        <v>47.5</v>
      </c>
      <c r="I97">
        <v>9.09</v>
      </c>
      <c r="J97">
        <v>38.409999999999997</v>
      </c>
      <c r="K97">
        <v>70</v>
      </c>
      <c r="L97">
        <v>180</v>
      </c>
    </row>
    <row r="98" spans="1:12" x14ac:dyDescent="0.35">
      <c r="A98" s="1">
        <v>45945.717777777776</v>
      </c>
      <c r="B98" s="2">
        <f t="shared" si="3"/>
        <v>0.71777777777777774</v>
      </c>
      <c r="C98" s="3">
        <f t="shared" si="4"/>
        <v>7.3981481481481426E-2</v>
      </c>
      <c r="D98" s="4">
        <f t="shared" si="5"/>
        <v>106.5</v>
      </c>
      <c r="E98">
        <v>300.10000000000002</v>
      </c>
      <c r="F98">
        <v>96.1</v>
      </c>
      <c r="G98">
        <v>5.8299999999999998E-2</v>
      </c>
      <c r="H98">
        <v>47.5</v>
      </c>
      <c r="I98">
        <v>9.2200000000000006</v>
      </c>
      <c r="J98">
        <v>38.28</v>
      </c>
      <c r="K98">
        <v>70</v>
      </c>
      <c r="L98">
        <v>180</v>
      </c>
    </row>
    <row r="99" spans="1:12" x14ac:dyDescent="0.35">
      <c r="A99" s="1">
        <v>45945.718530092592</v>
      </c>
      <c r="B99" s="2">
        <f t="shared" si="3"/>
        <v>0.7185300925925926</v>
      </c>
      <c r="C99" s="3">
        <f t="shared" si="4"/>
        <v>7.4733796296296284E-2</v>
      </c>
      <c r="D99" s="4">
        <f t="shared" si="5"/>
        <v>107.6</v>
      </c>
      <c r="E99">
        <v>300.10000000000002</v>
      </c>
      <c r="F99">
        <v>92.9</v>
      </c>
      <c r="G99">
        <v>5.8299999999999998E-2</v>
      </c>
      <c r="H99">
        <v>47.5</v>
      </c>
      <c r="I99">
        <v>8.91</v>
      </c>
      <c r="J99">
        <v>38.590000000000003</v>
      </c>
      <c r="K99">
        <v>70</v>
      </c>
      <c r="L99">
        <v>180</v>
      </c>
    </row>
    <row r="100" spans="1:12" x14ac:dyDescent="0.35">
      <c r="A100" s="1">
        <v>45945.719282407408</v>
      </c>
      <c r="B100" s="2">
        <f t="shared" si="3"/>
        <v>0.71928240740740745</v>
      </c>
      <c r="C100" s="3">
        <f t="shared" si="4"/>
        <v>7.5486111111111143E-2</v>
      </c>
      <c r="D100" s="4">
        <f t="shared" si="5"/>
        <v>108.7</v>
      </c>
      <c r="E100">
        <v>300.10000000000002</v>
      </c>
      <c r="F100">
        <v>96.8</v>
      </c>
      <c r="G100">
        <v>5.8299999999999998E-2</v>
      </c>
      <c r="H100">
        <v>47.5</v>
      </c>
      <c r="I100">
        <v>9.2899999999999991</v>
      </c>
      <c r="J100">
        <v>38.21</v>
      </c>
      <c r="K100">
        <v>70</v>
      </c>
      <c r="L100">
        <v>180</v>
      </c>
    </row>
    <row r="101" spans="1:12" x14ac:dyDescent="0.35">
      <c r="A101" s="1">
        <v>45945.720046296294</v>
      </c>
      <c r="B101" s="2">
        <f t="shared" si="3"/>
        <v>0.72004629629629635</v>
      </c>
      <c r="C101" s="3">
        <f t="shared" si="4"/>
        <v>7.625000000000004E-2</v>
      </c>
      <c r="D101" s="4">
        <f t="shared" si="5"/>
        <v>109.8</v>
      </c>
      <c r="E101">
        <v>300.10000000000002</v>
      </c>
      <c r="F101">
        <v>93.4</v>
      </c>
      <c r="G101">
        <v>5.8299999999999998E-2</v>
      </c>
      <c r="H101">
        <v>47.5</v>
      </c>
      <c r="I101">
        <v>8.9600000000000009</v>
      </c>
      <c r="J101">
        <v>38.54</v>
      </c>
      <c r="K101">
        <v>70</v>
      </c>
      <c r="L101">
        <v>180</v>
      </c>
    </row>
    <row r="102" spans="1:12" x14ac:dyDescent="0.35">
      <c r="A102" s="1">
        <v>45945.72079861111</v>
      </c>
      <c r="B102" s="2">
        <f t="shared" si="3"/>
        <v>0.7207986111111111</v>
      </c>
      <c r="C102" s="3">
        <f t="shared" si="4"/>
        <v>7.7002314814814787E-2</v>
      </c>
      <c r="D102" s="4">
        <f t="shared" si="5"/>
        <v>110.9</v>
      </c>
      <c r="E102">
        <v>300.10000000000002</v>
      </c>
      <c r="F102">
        <v>95.1</v>
      </c>
      <c r="G102">
        <v>5.8299999999999998E-2</v>
      </c>
      <c r="H102">
        <v>47.5</v>
      </c>
      <c r="I102">
        <v>9.1300000000000008</v>
      </c>
      <c r="J102">
        <v>38.369999999999997</v>
      </c>
      <c r="K102">
        <v>70</v>
      </c>
      <c r="L102">
        <v>180</v>
      </c>
    </row>
    <row r="103" spans="1:12" x14ac:dyDescent="0.35">
      <c r="A103" s="1">
        <v>45945.721562500003</v>
      </c>
      <c r="B103" s="2">
        <f t="shared" si="3"/>
        <v>0.7215625</v>
      </c>
      <c r="C103" s="3">
        <f t="shared" si="4"/>
        <v>7.7766203703703685E-2</v>
      </c>
      <c r="D103" s="4">
        <f t="shared" si="5"/>
        <v>112</v>
      </c>
      <c r="E103">
        <v>300.10000000000002</v>
      </c>
      <c r="F103">
        <v>92.5</v>
      </c>
      <c r="G103">
        <v>5.8299999999999998E-2</v>
      </c>
      <c r="H103">
        <v>47.5</v>
      </c>
      <c r="I103">
        <v>8.8800000000000008</v>
      </c>
      <c r="J103">
        <v>38.619999999999997</v>
      </c>
      <c r="K103">
        <v>70</v>
      </c>
      <c r="L103">
        <v>180</v>
      </c>
    </row>
    <row r="104" spans="1:12" x14ac:dyDescent="0.35">
      <c r="A104" s="1">
        <v>45945.722314814811</v>
      </c>
      <c r="B104" s="2">
        <f t="shared" si="3"/>
        <v>0.72231481481481485</v>
      </c>
      <c r="C104" s="3">
        <f t="shared" si="4"/>
        <v>7.8518518518518543E-2</v>
      </c>
      <c r="D104" s="4">
        <f t="shared" si="5"/>
        <v>113.1</v>
      </c>
      <c r="E104">
        <v>300.10000000000002</v>
      </c>
      <c r="F104">
        <v>89</v>
      </c>
      <c r="G104">
        <v>5.8299999999999998E-2</v>
      </c>
      <c r="H104">
        <v>47.5</v>
      </c>
      <c r="I104">
        <v>8.5399999999999991</v>
      </c>
      <c r="J104">
        <v>38.96</v>
      </c>
      <c r="K104">
        <v>70</v>
      </c>
      <c r="L104">
        <v>180</v>
      </c>
    </row>
    <row r="105" spans="1:12" x14ac:dyDescent="0.35">
      <c r="A105" s="1">
        <v>45945.723067129627</v>
      </c>
      <c r="B105" s="2">
        <f t="shared" si="3"/>
        <v>0.7230671296296296</v>
      </c>
      <c r="C105" s="3">
        <f t="shared" si="4"/>
        <v>7.927083333333329E-2</v>
      </c>
      <c r="D105" s="4">
        <f t="shared" si="5"/>
        <v>114.2</v>
      </c>
      <c r="E105">
        <v>300.10000000000002</v>
      </c>
      <c r="F105">
        <v>88.4</v>
      </c>
      <c r="G105">
        <v>5.8299999999999998E-2</v>
      </c>
      <c r="H105">
        <v>47.5</v>
      </c>
      <c r="I105">
        <v>8.48</v>
      </c>
      <c r="J105">
        <v>39.020000000000003</v>
      </c>
      <c r="K105">
        <v>70</v>
      </c>
      <c r="L105">
        <v>180</v>
      </c>
    </row>
    <row r="106" spans="1:12" x14ac:dyDescent="0.35">
      <c r="A106" s="1">
        <v>45945.723819444444</v>
      </c>
      <c r="B106" s="2">
        <f t="shared" si="3"/>
        <v>0.72381944444444446</v>
      </c>
      <c r="C106" s="3">
        <f t="shared" si="4"/>
        <v>8.0023148148148149E-2</v>
      </c>
      <c r="D106" s="4">
        <f t="shared" si="5"/>
        <v>115.2</v>
      </c>
      <c r="E106">
        <v>300.10000000000002</v>
      </c>
      <c r="F106">
        <v>90.3</v>
      </c>
      <c r="G106">
        <v>5.8299999999999998E-2</v>
      </c>
      <c r="H106">
        <v>47.5</v>
      </c>
      <c r="I106">
        <v>8.67</v>
      </c>
      <c r="J106">
        <v>38.83</v>
      </c>
      <c r="K106">
        <v>70</v>
      </c>
      <c r="L106">
        <v>180</v>
      </c>
    </row>
    <row r="107" spans="1:12" x14ac:dyDescent="0.35">
      <c r="A107" s="1">
        <v>45945.724583333336</v>
      </c>
      <c r="B107" s="2">
        <f t="shared" si="3"/>
        <v>0.72458333333333336</v>
      </c>
      <c r="C107" s="3">
        <f t="shared" si="4"/>
        <v>8.0787037037037046E-2</v>
      </c>
      <c r="D107" s="4">
        <f t="shared" si="5"/>
        <v>116.3</v>
      </c>
      <c r="E107">
        <v>300.10000000000002</v>
      </c>
      <c r="F107">
        <v>80.900000000000006</v>
      </c>
      <c r="G107">
        <v>4.4200000000000003E-2</v>
      </c>
      <c r="H107">
        <v>47.5</v>
      </c>
      <c r="I107">
        <v>7.76</v>
      </c>
      <c r="J107">
        <v>39.74</v>
      </c>
      <c r="K107">
        <v>70</v>
      </c>
      <c r="L107">
        <v>180</v>
      </c>
    </row>
    <row r="108" spans="1:12" x14ac:dyDescent="0.35">
      <c r="A108" s="1">
        <v>45945.725358796299</v>
      </c>
      <c r="B108" s="2">
        <f t="shared" si="3"/>
        <v>0.72535879629629629</v>
      </c>
      <c r="C108" s="3">
        <f t="shared" si="4"/>
        <v>8.1562499999999982E-2</v>
      </c>
      <c r="D108" s="4">
        <f t="shared" si="5"/>
        <v>117.5</v>
      </c>
      <c r="E108">
        <v>300.10000000000002</v>
      </c>
      <c r="F108">
        <v>88</v>
      </c>
      <c r="G108">
        <v>4.4200000000000003E-2</v>
      </c>
      <c r="H108">
        <v>47.5</v>
      </c>
      <c r="I108">
        <v>8.44</v>
      </c>
      <c r="J108">
        <v>39.06</v>
      </c>
      <c r="K108">
        <v>70</v>
      </c>
      <c r="L108">
        <v>180</v>
      </c>
    </row>
    <row r="109" spans="1:12" x14ac:dyDescent="0.35">
      <c r="A109" s="1">
        <v>45945.726122685184</v>
      </c>
      <c r="B109" s="2">
        <f t="shared" si="3"/>
        <v>0.72612268518518519</v>
      </c>
      <c r="C109" s="3">
        <f t="shared" si="4"/>
        <v>8.232638888888888E-2</v>
      </c>
      <c r="D109" s="4">
        <f t="shared" si="5"/>
        <v>118.6</v>
      </c>
      <c r="E109">
        <v>300.10000000000002</v>
      </c>
      <c r="F109">
        <v>87.7</v>
      </c>
      <c r="G109">
        <v>4.4200000000000003E-2</v>
      </c>
      <c r="H109">
        <v>47.5</v>
      </c>
      <c r="I109">
        <v>8.42</v>
      </c>
      <c r="J109">
        <v>39.08</v>
      </c>
      <c r="K109">
        <v>70</v>
      </c>
      <c r="L109">
        <v>180</v>
      </c>
    </row>
    <row r="110" spans="1:12" x14ac:dyDescent="0.35">
      <c r="A110" s="1">
        <v>45945.726909722223</v>
      </c>
      <c r="B110" s="2">
        <f t="shared" si="3"/>
        <v>0.72690972222222228</v>
      </c>
      <c r="C110" s="3">
        <f t="shared" si="4"/>
        <v>8.3113425925925966E-2</v>
      </c>
      <c r="D110" s="4">
        <f t="shared" si="5"/>
        <v>119.7</v>
      </c>
      <c r="E110">
        <v>300.10000000000002</v>
      </c>
      <c r="F110">
        <v>85.5</v>
      </c>
      <c r="G110">
        <v>4.4200000000000003E-2</v>
      </c>
      <c r="H110">
        <v>47.5</v>
      </c>
      <c r="I110">
        <v>8.1999999999999993</v>
      </c>
      <c r="J110">
        <v>39.299999999999997</v>
      </c>
      <c r="K110">
        <v>70</v>
      </c>
      <c r="L110">
        <v>180</v>
      </c>
    </row>
    <row r="111" spans="1:12" x14ac:dyDescent="0.35">
      <c r="A111" s="1">
        <v>45945.727685185186</v>
      </c>
      <c r="B111" s="2">
        <f t="shared" si="3"/>
        <v>0.72768518518518521</v>
      </c>
      <c r="C111" s="3">
        <f t="shared" si="4"/>
        <v>8.3888888888888902E-2</v>
      </c>
      <c r="D111" s="4">
        <f t="shared" si="5"/>
        <v>120.8</v>
      </c>
      <c r="E111">
        <v>300.10000000000002</v>
      </c>
      <c r="F111">
        <v>76.900000000000006</v>
      </c>
      <c r="G111">
        <v>4.4200000000000003E-2</v>
      </c>
      <c r="H111">
        <v>47.5</v>
      </c>
      <c r="I111">
        <v>7.38</v>
      </c>
      <c r="J111">
        <v>40.119999999999997</v>
      </c>
      <c r="K111">
        <v>70</v>
      </c>
      <c r="L111">
        <v>180</v>
      </c>
    </row>
    <row r="112" spans="1:12" x14ac:dyDescent="0.35">
      <c r="A112" s="1">
        <v>45945.728460648148</v>
      </c>
      <c r="B112" s="2">
        <f t="shared" si="3"/>
        <v>0.72846064814814815</v>
      </c>
      <c r="C112" s="3">
        <f t="shared" si="4"/>
        <v>8.4664351851851838E-2</v>
      </c>
      <c r="D112" s="4">
        <f t="shared" si="5"/>
        <v>121.9</v>
      </c>
      <c r="E112">
        <v>300.10000000000002</v>
      </c>
      <c r="F112">
        <v>82.3</v>
      </c>
      <c r="G112">
        <v>4.4200000000000003E-2</v>
      </c>
      <c r="H112">
        <v>47.5</v>
      </c>
      <c r="I112">
        <v>7.9</v>
      </c>
      <c r="J112">
        <v>39.6</v>
      </c>
      <c r="K112">
        <v>70</v>
      </c>
      <c r="L112">
        <v>180</v>
      </c>
    </row>
    <row r="113" spans="1:12" x14ac:dyDescent="0.35">
      <c r="A113" s="1">
        <v>45945.729212962964</v>
      </c>
      <c r="B113" s="2">
        <f t="shared" si="3"/>
        <v>0.72921296296296301</v>
      </c>
      <c r="C113" s="3">
        <f t="shared" si="4"/>
        <v>8.5416666666666696E-2</v>
      </c>
      <c r="D113" s="4">
        <f t="shared" si="5"/>
        <v>123</v>
      </c>
      <c r="E113">
        <v>300.10000000000002</v>
      </c>
      <c r="F113">
        <v>78.5</v>
      </c>
      <c r="G113">
        <v>4.4200000000000003E-2</v>
      </c>
      <c r="H113">
        <v>47.5</v>
      </c>
      <c r="I113">
        <v>7.53</v>
      </c>
      <c r="J113">
        <v>39.97</v>
      </c>
      <c r="K113">
        <v>70</v>
      </c>
      <c r="L113">
        <v>180</v>
      </c>
    </row>
    <row r="114" spans="1:12" x14ac:dyDescent="0.35">
      <c r="A114" s="1">
        <v>45945.72996527778</v>
      </c>
      <c r="B114" s="2">
        <f t="shared" si="3"/>
        <v>0.72996527777777775</v>
      </c>
      <c r="C114" s="3">
        <f t="shared" si="4"/>
        <v>8.6168981481481444E-2</v>
      </c>
      <c r="D114" s="4">
        <f t="shared" si="5"/>
        <v>124.1</v>
      </c>
      <c r="E114">
        <v>300.10000000000002</v>
      </c>
      <c r="F114">
        <v>79.5</v>
      </c>
      <c r="G114">
        <v>4.4200000000000003E-2</v>
      </c>
      <c r="H114">
        <v>47.5</v>
      </c>
      <c r="I114">
        <v>7.63</v>
      </c>
      <c r="J114">
        <v>39.869999999999997</v>
      </c>
      <c r="K114">
        <v>70</v>
      </c>
      <c r="L114">
        <v>180</v>
      </c>
    </row>
    <row r="115" spans="1:12" x14ac:dyDescent="0.35">
      <c r="A115" s="1">
        <v>45945.730729166666</v>
      </c>
      <c r="B115" s="2">
        <f t="shared" si="3"/>
        <v>0.73072916666666665</v>
      </c>
      <c r="C115" s="3">
        <f t="shared" si="4"/>
        <v>8.6932870370370341E-2</v>
      </c>
      <c r="D115" s="4">
        <f t="shared" si="5"/>
        <v>125.2</v>
      </c>
      <c r="E115">
        <v>300.10000000000002</v>
      </c>
      <c r="F115">
        <v>73</v>
      </c>
      <c r="G115">
        <v>4.4200000000000003E-2</v>
      </c>
      <c r="H115">
        <v>47.5</v>
      </c>
      <c r="I115">
        <v>7.01</v>
      </c>
      <c r="J115">
        <v>40.49</v>
      </c>
      <c r="K115">
        <v>70</v>
      </c>
      <c r="L115">
        <v>180</v>
      </c>
    </row>
    <row r="116" spans="1:12" x14ac:dyDescent="0.35">
      <c r="A116" s="1">
        <v>45945.731504629628</v>
      </c>
      <c r="B116" s="2">
        <f t="shared" si="3"/>
        <v>0.73150462962962959</v>
      </c>
      <c r="C116" s="3">
        <f t="shared" si="4"/>
        <v>8.7708333333333277E-2</v>
      </c>
      <c r="D116" s="4">
        <f t="shared" si="5"/>
        <v>126.3</v>
      </c>
      <c r="E116">
        <v>300.10000000000002</v>
      </c>
      <c r="F116">
        <v>73.900000000000006</v>
      </c>
      <c r="G116">
        <v>4.4200000000000003E-2</v>
      </c>
      <c r="H116">
        <v>47.5</v>
      </c>
      <c r="I116">
        <v>7.09</v>
      </c>
      <c r="J116">
        <v>40.409999999999997</v>
      </c>
      <c r="K116">
        <v>70</v>
      </c>
      <c r="L116">
        <v>180</v>
      </c>
    </row>
    <row r="117" spans="1:12" x14ac:dyDescent="0.35">
      <c r="A117" s="1">
        <v>45945.732291666667</v>
      </c>
      <c r="B117" s="2">
        <f t="shared" si="3"/>
        <v>0.73229166666666667</v>
      </c>
      <c r="C117" s="3">
        <f t="shared" si="4"/>
        <v>8.8495370370370363E-2</v>
      </c>
      <c r="D117" s="4">
        <f t="shared" si="5"/>
        <v>127.4</v>
      </c>
      <c r="E117">
        <v>300.10000000000002</v>
      </c>
      <c r="F117">
        <v>76.7</v>
      </c>
      <c r="G117">
        <v>4.4200000000000003E-2</v>
      </c>
      <c r="H117">
        <v>47.5</v>
      </c>
      <c r="I117">
        <v>7.36</v>
      </c>
      <c r="J117">
        <v>40.14</v>
      </c>
      <c r="K117">
        <v>70</v>
      </c>
      <c r="L117">
        <v>180</v>
      </c>
    </row>
    <row r="118" spans="1:12" x14ac:dyDescent="0.35">
      <c r="A118" s="1">
        <v>45945.733043981483</v>
      </c>
      <c r="B118" s="2">
        <f t="shared" si="3"/>
        <v>0.73304398148148153</v>
      </c>
      <c r="C118" s="3">
        <f t="shared" si="4"/>
        <v>8.9247685185185222E-2</v>
      </c>
      <c r="D118" s="4">
        <f t="shared" si="5"/>
        <v>128.5</v>
      </c>
      <c r="E118">
        <v>300.10000000000002</v>
      </c>
      <c r="F118">
        <v>74.599999999999994</v>
      </c>
      <c r="G118">
        <v>4.4200000000000003E-2</v>
      </c>
      <c r="H118">
        <v>47.5</v>
      </c>
      <c r="I118">
        <v>7.16</v>
      </c>
      <c r="J118">
        <v>40.340000000000003</v>
      </c>
      <c r="K118">
        <v>70</v>
      </c>
      <c r="L118">
        <v>180</v>
      </c>
    </row>
    <row r="119" spans="1:12" x14ac:dyDescent="0.35">
      <c r="A119" s="1">
        <v>45945.733865740738</v>
      </c>
      <c r="B119" s="2">
        <f t="shared" si="3"/>
        <v>0.73386574074074074</v>
      </c>
      <c r="C119" s="3">
        <f t="shared" si="4"/>
        <v>9.0069444444444424E-2</v>
      </c>
      <c r="D119" s="4">
        <f t="shared" si="5"/>
        <v>129.69999999999999</v>
      </c>
      <c r="E119">
        <v>300.10000000000002</v>
      </c>
      <c r="F119">
        <v>73.3</v>
      </c>
      <c r="G119">
        <v>4.4200000000000003E-2</v>
      </c>
      <c r="H119">
        <v>47.5</v>
      </c>
      <c r="I119">
        <v>7.03</v>
      </c>
      <c r="J119">
        <v>40.47</v>
      </c>
      <c r="K119">
        <v>70</v>
      </c>
      <c r="L119">
        <v>180</v>
      </c>
    </row>
    <row r="120" spans="1:12" x14ac:dyDescent="0.35">
      <c r="A120" s="1">
        <v>45945.734618055554</v>
      </c>
      <c r="B120" s="2">
        <f t="shared" si="3"/>
        <v>0.73461805555555559</v>
      </c>
      <c r="C120" s="3">
        <f t="shared" si="4"/>
        <v>9.0821759259259283E-2</v>
      </c>
      <c r="D120" s="4">
        <f t="shared" si="5"/>
        <v>130.80000000000001</v>
      </c>
      <c r="E120">
        <v>300.10000000000002</v>
      </c>
      <c r="F120">
        <v>66.900000000000006</v>
      </c>
      <c r="G120">
        <v>4.4200000000000003E-2</v>
      </c>
      <c r="H120">
        <v>47.5</v>
      </c>
      <c r="I120">
        <v>6.42</v>
      </c>
      <c r="J120">
        <v>41.08</v>
      </c>
      <c r="K120">
        <v>70</v>
      </c>
      <c r="L120">
        <v>180</v>
      </c>
    </row>
    <row r="121" spans="1:12" x14ac:dyDescent="0.35">
      <c r="A121" s="1">
        <v>45945.736747685187</v>
      </c>
      <c r="B121" s="2">
        <f t="shared" si="3"/>
        <v>0.73674768518518519</v>
      </c>
      <c r="C121" s="3">
        <f t="shared" si="4"/>
        <v>9.2951388888888875E-2</v>
      </c>
      <c r="D121" s="4">
        <f t="shared" si="5"/>
        <v>133.9</v>
      </c>
      <c r="E121">
        <v>300.10000000000002</v>
      </c>
      <c r="F121">
        <v>67</v>
      </c>
      <c r="G121">
        <v>4.4200000000000003E-2</v>
      </c>
      <c r="H121">
        <v>47.5</v>
      </c>
      <c r="I121">
        <v>6.43</v>
      </c>
      <c r="J121">
        <v>41.07</v>
      </c>
      <c r="K121">
        <v>70</v>
      </c>
      <c r="L121">
        <v>180</v>
      </c>
    </row>
    <row r="122" spans="1:12" x14ac:dyDescent="0.35">
      <c r="A122" s="1">
        <v>45945.737500000003</v>
      </c>
      <c r="B122" s="2">
        <f t="shared" si="3"/>
        <v>0.73750000000000004</v>
      </c>
      <c r="C122" s="3">
        <f t="shared" si="4"/>
        <v>9.3703703703703733E-2</v>
      </c>
      <c r="D122" s="4">
        <f t="shared" si="5"/>
        <v>134.9</v>
      </c>
      <c r="E122">
        <v>300.10000000000002</v>
      </c>
      <c r="F122">
        <v>65.7</v>
      </c>
      <c r="G122">
        <v>2.0799999999999999E-2</v>
      </c>
      <c r="H122">
        <v>47.5</v>
      </c>
      <c r="I122">
        <v>6.3</v>
      </c>
      <c r="J122">
        <v>41.2</v>
      </c>
      <c r="K122">
        <v>70</v>
      </c>
      <c r="L122">
        <v>180</v>
      </c>
    </row>
    <row r="123" spans="1:12" x14ac:dyDescent="0.35">
      <c r="A123" s="1">
        <v>45945.738252314812</v>
      </c>
      <c r="B123" s="2">
        <f t="shared" si="3"/>
        <v>0.73825231481481479</v>
      </c>
      <c r="C123" s="3">
        <f t="shared" si="4"/>
        <v>9.4456018518518481E-2</v>
      </c>
      <c r="D123" s="4">
        <f t="shared" si="5"/>
        <v>136</v>
      </c>
      <c r="E123">
        <v>300.10000000000002</v>
      </c>
      <c r="F123">
        <v>67</v>
      </c>
      <c r="G123">
        <v>2.0799999999999999E-2</v>
      </c>
      <c r="H123">
        <v>47.5</v>
      </c>
      <c r="I123">
        <v>6.43</v>
      </c>
      <c r="J123">
        <v>41.07</v>
      </c>
      <c r="K123">
        <v>70</v>
      </c>
      <c r="L123">
        <v>180</v>
      </c>
    </row>
    <row r="124" spans="1:12" x14ac:dyDescent="0.35">
      <c r="A124" s="1">
        <v>45945.739004629628</v>
      </c>
      <c r="B124" s="2">
        <f t="shared" si="3"/>
        <v>0.73900462962962965</v>
      </c>
      <c r="C124" s="3">
        <f t="shared" si="4"/>
        <v>9.5208333333333339E-2</v>
      </c>
      <c r="D124" s="4">
        <f t="shared" si="5"/>
        <v>137.1</v>
      </c>
      <c r="E124">
        <v>300.10000000000002</v>
      </c>
      <c r="F124">
        <v>65.099999999999994</v>
      </c>
      <c r="G124">
        <v>2.0799999999999999E-2</v>
      </c>
      <c r="H124">
        <v>47.5</v>
      </c>
      <c r="I124">
        <v>6.25</v>
      </c>
      <c r="J124">
        <v>41.25</v>
      </c>
      <c r="K124">
        <v>70</v>
      </c>
      <c r="L124">
        <v>180</v>
      </c>
    </row>
    <row r="125" spans="1:12" x14ac:dyDescent="0.35">
      <c r="A125" s="1">
        <v>45945.739768518521</v>
      </c>
      <c r="B125" s="2">
        <f t="shared" si="3"/>
        <v>0.73976851851851855</v>
      </c>
      <c r="C125" s="3">
        <f t="shared" si="4"/>
        <v>9.5972222222222237E-2</v>
      </c>
      <c r="D125" s="4">
        <f t="shared" si="5"/>
        <v>138.19999999999999</v>
      </c>
      <c r="E125">
        <v>300.10000000000002</v>
      </c>
      <c r="F125">
        <v>66.2</v>
      </c>
      <c r="G125">
        <v>2.0799999999999999E-2</v>
      </c>
      <c r="H125">
        <v>47.5</v>
      </c>
      <c r="I125">
        <v>6.35</v>
      </c>
      <c r="J125">
        <v>41.15</v>
      </c>
      <c r="K125">
        <v>70</v>
      </c>
      <c r="L125">
        <v>180</v>
      </c>
    </row>
    <row r="126" spans="1:12" x14ac:dyDescent="0.35">
      <c r="A126" s="1">
        <v>45945.740520833337</v>
      </c>
      <c r="B126" s="2">
        <f t="shared" si="3"/>
        <v>0.74052083333333329</v>
      </c>
      <c r="C126" s="3">
        <f t="shared" si="4"/>
        <v>9.6724537037036984E-2</v>
      </c>
      <c r="D126" s="4">
        <f t="shared" si="5"/>
        <v>139.30000000000001</v>
      </c>
      <c r="E126">
        <v>300.10000000000002</v>
      </c>
      <c r="F126">
        <v>59.9</v>
      </c>
      <c r="G126">
        <v>2.0799999999999999E-2</v>
      </c>
      <c r="H126">
        <v>47.5</v>
      </c>
      <c r="I126">
        <v>5.75</v>
      </c>
      <c r="J126">
        <v>41.75</v>
      </c>
      <c r="K126">
        <v>70</v>
      </c>
      <c r="L126">
        <v>180</v>
      </c>
    </row>
    <row r="127" spans="1:12" x14ac:dyDescent="0.35">
      <c r="A127" s="1">
        <v>45945.741273148145</v>
      </c>
      <c r="B127" s="2">
        <f t="shared" si="3"/>
        <v>0.74127314814814815</v>
      </c>
      <c r="C127" s="3">
        <f t="shared" si="4"/>
        <v>9.7476851851851842E-2</v>
      </c>
      <c r="D127" s="4">
        <f t="shared" si="5"/>
        <v>140.4</v>
      </c>
      <c r="E127">
        <v>300.10000000000002</v>
      </c>
      <c r="F127">
        <v>59.1</v>
      </c>
      <c r="G127">
        <v>2.0799999999999999E-2</v>
      </c>
      <c r="H127">
        <v>47.5</v>
      </c>
      <c r="I127">
        <v>5.67</v>
      </c>
      <c r="J127">
        <v>41.83</v>
      </c>
      <c r="K127">
        <v>70</v>
      </c>
      <c r="L127">
        <v>180</v>
      </c>
    </row>
    <row r="128" spans="1:12" x14ac:dyDescent="0.35">
      <c r="A128" s="1">
        <v>45945.742048611108</v>
      </c>
      <c r="B128" s="2">
        <f t="shared" si="3"/>
        <v>0.74204861111111109</v>
      </c>
      <c r="C128" s="3">
        <f t="shared" si="4"/>
        <v>9.8252314814814778E-2</v>
      </c>
      <c r="D128" s="4">
        <f t="shared" si="5"/>
        <v>141.5</v>
      </c>
      <c r="E128">
        <v>300.10000000000002</v>
      </c>
      <c r="F128">
        <v>54.8</v>
      </c>
      <c r="G128">
        <v>2.0799999999999999E-2</v>
      </c>
      <c r="H128">
        <v>47.5</v>
      </c>
      <c r="I128">
        <v>5.26</v>
      </c>
      <c r="J128">
        <v>42.24</v>
      </c>
      <c r="K128">
        <v>70</v>
      </c>
      <c r="L128">
        <v>180</v>
      </c>
    </row>
    <row r="129" spans="1:12" x14ac:dyDescent="0.35">
      <c r="A129" s="1">
        <v>45945.742800925924</v>
      </c>
      <c r="B129" s="2">
        <f t="shared" si="3"/>
        <v>0.74280092592592595</v>
      </c>
      <c r="C129" s="3">
        <f t="shared" si="4"/>
        <v>9.9004629629629637E-2</v>
      </c>
      <c r="D129" s="4">
        <f t="shared" si="5"/>
        <v>142.6</v>
      </c>
      <c r="E129">
        <v>300.10000000000002</v>
      </c>
      <c r="F129">
        <v>52.8</v>
      </c>
      <c r="G129">
        <v>2.0799999999999999E-2</v>
      </c>
      <c r="H129">
        <v>47.5</v>
      </c>
      <c r="I129">
        <v>5.07</v>
      </c>
      <c r="J129">
        <v>42.43</v>
      </c>
      <c r="K129">
        <v>70</v>
      </c>
      <c r="L129">
        <v>180</v>
      </c>
    </row>
    <row r="130" spans="1:12" x14ac:dyDescent="0.35">
      <c r="A130" s="1">
        <v>45945.743564814817</v>
      </c>
      <c r="B130" s="2">
        <f t="shared" si="3"/>
        <v>0.74356481481481485</v>
      </c>
      <c r="C130" s="3">
        <f t="shared" si="4"/>
        <v>9.9768518518518534E-2</v>
      </c>
      <c r="D130" s="4">
        <f t="shared" si="5"/>
        <v>143.69999999999999</v>
      </c>
      <c r="E130">
        <v>300.10000000000002</v>
      </c>
      <c r="F130">
        <v>56.2</v>
      </c>
      <c r="G130">
        <v>2.0799999999999999E-2</v>
      </c>
      <c r="H130">
        <v>47.5</v>
      </c>
      <c r="I130">
        <v>5.39</v>
      </c>
      <c r="J130">
        <v>42.11</v>
      </c>
      <c r="K130">
        <v>70</v>
      </c>
      <c r="L130">
        <v>180</v>
      </c>
    </row>
    <row r="131" spans="1:12" x14ac:dyDescent="0.35">
      <c r="A131" s="1">
        <v>45945.744317129633</v>
      </c>
      <c r="B131" s="2">
        <f t="shared" ref="B131:B168" si="6">TIME(HOUR(A131), MINUTE(A131), SECOND(A131))</f>
        <v>0.74431712962962959</v>
      </c>
      <c r="C131" s="3">
        <f t="shared" si="4"/>
        <v>0.10052083333333328</v>
      </c>
      <c r="D131" s="4">
        <f t="shared" si="5"/>
        <v>144.80000000000001</v>
      </c>
      <c r="E131">
        <v>59.6</v>
      </c>
      <c r="F131">
        <v>47.4</v>
      </c>
      <c r="G131">
        <v>2.0799999999999999E-2</v>
      </c>
      <c r="H131">
        <v>47.5</v>
      </c>
      <c r="I131">
        <v>4.55</v>
      </c>
      <c r="J131">
        <v>42.95</v>
      </c>
      <c r="K131">
        <v>70</v>
      </c>
      <c r="L131">
        <v>180</v>
      </c>
    </row>
    <row r="132" spans="1:12" x14ac:dyDescent="0.35">
      <c r="A132" s="1">
        <v>45945.745081018518</v>
      </c>
      <c r="B132" s="2">
        <f t="shared" si="6"/>
        <v>0.74508101851851849</v>
      </c>
      <c r="C132" s="3">
        <f t="shared" ref="C132:C168" si="7">B132-$B$2</f>
        <v>0.10128472222222218</v>
      </c>
      <c r="D132" s="4">
        <f t="shared" ref="D132:D168" si="8">ROUND(HOUR(C132)*60 + MINUTE(C132) + SECOND(C132)/60, 1)</f>
        <v>145.9</v>
      </c>
      <c r="E132">
        <v>55.6</v>
      </c>
      <c r="F132">
        <v>53.5</v>
      </c>
      <c r="G132">
        <v>0</v>
      </c>
      <c r="H132">
        <v>47.5</v>
      </c>
      <c r="I132">
        <v>5.13</v>
      </c>
      <c r="J132">
        <v>42.37</v>
      </c>
      <c r="K132">
        <v>70</v>
      </c>
      <c r="L132">
        <v>180</v>
      </c>
    </row>
    <row r="133" spans="1:12" x14ac:dyDescent="0.35">
      <c r="A133" s="1">
        <v>45945.74591435185</v>
      </c>
      <c r="B133" s="2">
        <f t="shared" si="6"/>
        <v>0.74591435185185184</v>
      </c>
      <c r="C133" s="3">
        <f t="shared" si="7"/>
        <v>0.10211805555555553</v>
      </c>
      <c r="D133" s="4">
        <f t="shared" si="8"/>
        <v>147.1</v>
      </c>
      <c r="E133">
        <v>52</v>
      </c>
      <c r="F133">
        <v>48.5</v>
      </c>
      <c r="G133">
        <v>0</v>
      </c>
      <c r="H133">
        <v>47.5</v>
      </c>
      <c r="I133">
        <v>4.6500000000000004</v>
      </c>
      <c r="J133">
        <v>42.85</v>
      </c>
      <c r="K133">
        <v>70</v>
      </c>
      <c r="L133">
        <v>180</v>
      </c>
    </row>
    <row r="134" spans="1:12" x14ac:dyDescent="0.35">
      <c r="A134" s="1">
        <v>45945.746666666666</v>
      </c>
      <c r="B134" s="2">
        <f t="shared" si="6"/>
        <v>0.7466666666666667</v>
      </c>
      <c r="C134" s="3">
        <f t="shared" si="7"/>
        <v>0.10287037037037039</v>
      </c>
      <c r="D134" s="4">
        <f t="shared" si="8"/>
        <v>148.1</v>
      </c>
      <c r="E134">
        <v>47</v>
      </c>
      <c r="F134">
        <v>50.2</v>
      </c>
      <c r="G134">
        <v>0</v>
      </c>
      <c r="H134">
        <v>47.5</v>
      </c>
      <c r="I134">
        <v>4.82</v>
      </c>
      <c r="J134">
        <v>42.68</v>
      </c>
      <c r="K134">
        <v>70</v>
      </c>
      <c r="L134">
        <v>180</v>
      </c>
    </row>
    <row r="135" spans="1:12" x14ac:dyDescent="0.35">
      <c r="A135" s="1">
        <v>45945.747604166667</v>
      </c>
      <c r="B135" s="2">
        <f t="shared" si="6"/>
        <v>0.74760416666666663</v>
      </c>
      <c r="C135" s="3">
        <f t="shared" si="7"/>
        <v>0.10380787037037031</v>
      </c>
      <c r="D135" s="4">
        <f t="shared" si="8"/>
        <v>149.5</v>
      </c>
      <c r="E135">
        <v>45.2</v>
      </c>
      <c r="F135">
        <v>47.2</v>
      </c>
      <c r="G135">
        <v>0</v>
      </c>
      <c r="H135">
        <v>47.5</v>
      </c>
      <c r="I135">
        <v>4.53</v>
      </c>
      <c r="J135">
        <v>42.97</v>
      </c>
      <c r="K135">
        <v>70</v>
      </c>
      <c r="L135">
        <v>180</v>
      </c>
    </row>
    <row r="136" spans="1:12" x14ac:dyDescent="0.35">
      <c r="A136" s="1">
        <v>45945.748437499999</v>
      </c>
      <c r="B136" s="2">
        <f t="shared" si="6"/>
        <v>0.74843749999999998</v>
      </c>
      <c r="C136" s="3">
        <f t="shared" si="7"/>
        <v>0.10464120370370367</v>
      </c>
      <c r="D136" s="4">
        <f t="shared" si="8"/>
        <v>150.69999999999999</v>
      </c>
      <c r="E136">
        <v>43.4</v>
      </c>
      <c r="F136">
        <v>49.6</v>
      </c>
      <c r="G136">
        <v>0</v>
      </c>
      <c r="H136">
        <v>47.5</v>
      </c>
      <c r="I136">
        <v>4.76</v>
      </c>
      <c r="J136">
        <v>42.74</v>
      </c>
      <c r="K136">
        <v>70</v>
      </c>
      <c r="L136">
        <v>180</v>
      </c>
    </row>
    <row r="137" spans="1:12" x14ac:dyDescent="0.35">
      <c r="A137" s="1">
        <v>45945.749224537038</v>
      </c>
      <c r="B137" s="2">
        <f t="shared" si="6"/>
        <v>0.74922453703703706</v>
      </c>
      <c r="C137" s="3">
        <f t="shared" si="7"/>
        <v>0.10542824074074075</v>
      </c>
      <c r="D137" s="4">
        <f t="shared" si="8"/>
        <v>151.80000000000001</v>
      </c>
      <c r="E137">
        <v>42.1</v>
      </c>
      <c r="F137">
        <v>41.3</v>
      </c>
      <c r="G137">
        <v>0</v>
      </c>
      <c r="H137">
        <v>47.5</v>
      </c>
      <c r="I137">
        <v>3.96</v>
      </c>
      <c r="J137">
        <v>43.54</v>
      </c>
      <c r="K137">
        <v>70</v>
      </c>
      <c r="L137">
        <v>180</v>
      </c>
    </row>
    <row r="138" spans="1:12" x14ac:dyDescent="0.35">
      <c r="A138" s="1">
        <v>45945.749988425923</v>
      </c>
      <c r="B138" s="2">
        <f t="shared" si="6"/>
        <v>0.74998842592592596</v>
      </c>
      <c r="C138" s="3">
        <f t="shared" si="7"/>
        <v>0.10619212962962965</v>
      </c>
      <c r="D138" s="4">
        <f t="shared" si="8"/>
        <v>152.9</v>
      </c>
      <c r="E138">
        <v>40.700000000000003</v>
      </c>
      <c r="F138">
        <v>43.2</v>
      </c>
      <c r="G138">
        <v>0</v>
      </c>
      <c r="H138">
        <v>47.5</v>
      </c>
      <c r="I138">
        <v>4.1500000000000004</v>
      </c>
      <c r="J138">
        <v>43.35</v>
      </c>
      <c r="K138">
        <v>70</v>
      </c>
      <c r="L138">
        <v>180</v>
      </c>
    </row>
    <row r="139" spans="1:12" x14ac:dyDescent="0.35">
      <c r="A139" s="1">
        <v>45945.750740740739</v>
      </c>
      <c r="B139" s="2">
        <f t="shared" si="6"/>
        <v>0.75074074074074071</v>
      </c>
      <c r="C139" s="3">
        <f t="shared" si="7"/>
        <v>0.1069444444444444</v>
      </c>
      <c r="D139" s="4">
        <f t="shared" si="8"/>
        <v>154</v>
      </c>
      <c r="E139">
        <v>40</v>
      </c>
      <c r="F139">
        <v>36.9</v>
      </c>
      <c r="G139">
        <v>0</v>
      </c>
      <c r="H139">
        <v>47.5</v>
      </c>
      <c r="I139">
        <v>3.54</v>
      </c>
      <c r="J139">
        <v>43.96</v>
      </c>
      <c r="K139">
        <v>70</v>
      </c>
      <c r="L139">
        <v>180</v>
      </c>
    </row>
    <row r="140" spans="1:12" x14ac:dyDescent="0.35">
      <c r="A140" s="1">
        <v>45945.751504629632</v>
      </c>
      <c r="B140" s="2">
        <f t="shared" si="6"/>
        <v>0.75150462962962961</v>
      </c>
      <c r="C140" s="3">
        <f t="shared" si="7"/>
        <v>0.10770833333333329</v>
      </c>
      <c r="D140" s="4">
        <f t="shared" si="8"/>
        <v>155.1</v>
      </c>
      <c r="E140">
        <v>39.200000000000003</v>
      </c>
      <c r="F140">
        <v>38.5</v>
      </c>
      <c r="G140">
        <v>0</v>
      </c>
      <c r="H140">
        <v>47.5</v>
      </c>
      <c r="I140">
        <v>3.69</v>
      </c>
      <c r="J140">
        <v>43.81</v>
      </c>
      <c r="K140">
        <v>70</v>
      </c>
      <c r="L140">
        <v>180</v>
      </c>
    </row>
    <row r="141" spans="1:12" x14ac:dyDescent="0.35">
      <c r="A141" s="1">
        <v>45945.752291666664</v>
      </c>
      <c r="B141" s="2">
        <f t="shared" si="6"/>
        <v>0.75229166666666669</v>
      </c>
      <c r="C141" s="3">
        <f t="shared" si="7"/>
        <v>0.10849537037037038</v>
      </c>
      <c r="D141" s="4">
        <f t="shared" si="8"/>
        <v>156.19999999999999</v>
      </c>
      <c r="E141">
        <v>34.700000000000003</v>
      </c>
      <c r="F141">
        <v>38.299999999999997</v>
      </c>
      <c r="G141">
        <v>0</v>
      </c>
      <c r="H141">
        <v>47.5</v>
      </c>
      <c r="I141">
        <v>3.68</v>
      </c>
      <c r="J141">
        <v>43.82</v>
      </c>
      <c r="K141">
        <v>70</v>
      </c>
      <c r="L141">
        <v>180</v>
      </c>
    </row>
    <row r="142" spans="1:12" x14ac:dyDescent="0.35">
      <c r="A142" s="1">
        <v>45945.753067129626</v>
      </c>
      <c r="B142" s="2">
        <f t="shared" si="6"/>
        <v>0.75306712962962963</v>
      </c>
      <c r="C142" s="3">
        <f t="shared" si="7"/>
        <v>0.10927083333333332</v>
      </c>
      <c r="D142" s="4">
        <f t="shared" si="8"/>
        <v>157.4</v>
      </c>
      <c r="E142">
        <v>31.5</v>
      </c>
      <c r="F142">
        <v>39.9</v>
      </c>
      <c r="G142">
        <v>0</v>
      </c>
      <c r="H142">
        <v>47.5</v>
      </c>
      <c r="I142">
        <v>3.83</v>
      </c>
      <c r="J142">
        <v>43.67</v>
      </c>
      <c r="K142">
        <v>70</v>
      </c>
      <c r="L142">
        <v>180</v>
      </c>
    </row>
    <row r="143" spans="1:12" x14ac:dyDescent="0.35">
      <c r="A143" s="1">
        <v>45945.753877314812</v>
      </c>
      <c r="B143" s="2">
        <f t="shared" si="6"/>
        <v>0.75387731481481479</v>
      </c>
      <c r="C143" s="3">
        <f t="shared" si="7"/>
        <v>0.11008101851851848</v>
      </c>
      <c r="D143" s="4">
        <f t="shared" si="8"/>
        <v>158.5</v>
      </c>
      <c r="E143">
        <v>29.2</v>
      </c>
      <c r="F143">
        <v>34</v>
      </c>
      <c r="G143">
        <v>0</v>
      </c>
      <c r="H143">
        <v>47.5</v>
      </c>
      <c r="I143">
        <v>3.26</v>
      </c>
      <c r="J143">
        <v>44.24</v>
      </c>
      <c r="K143">
        <v>70</v>
      </c>
      <c r="L143">
        <v>180</v>
      </c>
    </row>
    <row r="144" spans="1:12" x14ac:dyDescent="0.35">
      <c r="A144" s="1">
        <v>45945.754629629628</v>
      </c>
      <c r="B144" s="2">
        <f t="shared" si="6"/>
        <v>0.75462962962962965</v>
      </c>
      <c r="C144" s="3">
        <f t="shared" si="7"/>
        <v>0.11083333333333334</v>
      </c>
      <c r="D144" s="4">
        <f t="shared" si="8"/>
        <v>159.6</v>
      </c>
      <c r="E144">
        <v>27.5</v>
      </c>
      <c r="F144">
        <v>33</v>
      </c>
      <c r="G144">
        <v>0</v>
      </c>
      <c r="H144">
        <v>47.5</v>
      </c>
      <c r="I144">
        <v>3.17</v>
      </c>
      <c r="J144">
        <v>44.33</v>
      </c>
      <c r="K144">
        <v>70</v>
      </c>
      <c r="L144">
        <v>180</v>
      </c>
    </row>
    <row r="145" spans="1:12" x14ac:dyDescent="0.35">
      <c r="A145" s="1">
        <v>45945.755393518521</v>
      </c>
      <c r="B145" s="2">
        <f t="shared" si="6"/>
        <v>0.75539351851851855</v>
      </c>
      <c r="C145" s="3">
        <f t="shared" si="7"/>
        <v>0.11159722222222224</v>
      </c>
      <c r="D145" s="4">
        <f t="shared" si="8"/>
        <v>160.69999999999999</v>
      </c>
      <c r="E145">
        <v>26.6</v>
      </c>
      <c r="F145">
        <v>35.299999999999997</v>
      </c>
      <c r="G145">
        <v>0</v>
      </c>
      <c r="H145">
        <v>47.5</v>
      </c>
      <c r="I145">
        <v>3.39</v>
      </c>
      <c r="J145">
        <v>44.11</v>
      </c>
      <c r="K145">
        <v>70</v>
      </c>
      <c r="L145">
        <v>180</v>
      </c>
    </row>
    <row r="146" spans="1:12" x14ac:dyDescent="0.35">
      <c r="A146" s="1">
        <v>45945.756226851852</v>
      </c>
      <c r="B146" s="2">
        <f t="shared" si="6"/>
        <v>0.7562268518518519</v>
      </c>
      <c r="C146" s="3">
        <f t="shared" si="7"/>
        <v>0.11243055555555559</v>
      </c>
      <c r="D146" s="4">
        <f t="shared" si="8"/>
        <v>161.9</v>
      </c>
      <c r="E146">
        <v>25.6</v>
      </c>
      <c r="F146">
        <v>35.700000000000003</v>
      </c>
      <c r="G146">
        <v>0</v>
      </c>
      <c r="H146">
        <v>47.5</v>
      </c>
      <c r="I146">
        <v>3.43</v>
      </c>
      <c r="J146">
        <v>44.07</v>
      </c>
      <c r="K146">
        <v>70</v>
      </c>
      <c r="L146">
        <v>180</v>
      </c>
    </row>
    <row r="147" spans="1:12" x14ac:dyDescent="0.35">
      <c r="A147" s="1">
        <v>45945.756990740738</v>
      </c>
      <c r="B147" s="2">
        <f t="shared" si="6"/>
        <v>0.75699074074074069</v>
      </c>
      <c r="C147" s="3">
        <f t="shared" si="7"/>
        <v>0.11319444444444438</v>
      </c>
      <c r="D147" s="4">
        <f t="shared" si="8"/>
        <v>163</v>
      </c>
      <c r="E147">
        <v>23</v>
      </c>
      <c r="F147">
        <v>27.6</v>
      </c>
      <c r="G147">
        <v>0</v>
      </c>
      <c r="H147">
        <v>47.5</v>
      </c>
      <c r="I147">
        <v>2.65</v>
      </c>
      <c r="J147">
        <v>44.85</v>
      </c>
      <c r="K147">
        <v>70</v>
      </c>
      <c r="L147">
        <v>180</v>
      </c>
    </row>
    <row r="148" spans="1:12" x14ac:dyDescent="0.35">
      <c r="A148" s="1">
        <v>45945.757800925923</v>
      </c>
      <c r="B148" s="2">
        <f t="shared" si="6"/>
        <v>0.75780092592592596</v>
      </c>
      <c r="C148" s="3">
        <f t="shared" si="7"/>
        <v>0.11400462962962965</v>
      </c>
      <c r="D148" s="4">
        <f t="shared" si="8"/>
        <v>164.2</v>
      </c>
      <c r="E148">
        <v>21.2</v>
      </c>
      <c r="F148">
        <v>30.8</v>
      </c>
      <c r="G148">
        <v>0</v>
      </c>
      <c r="H148">
        <v>47.5</v>
      </c>
      <c r="I148">
        <v>2.96</v>
      </c>
      <c r="J148">
        <v>44.54</v>
      </c>
      <c r="K148">
        <v>70</v>
      </c>
      <c r="L148">
        <v>180</v>
      </c>
    </row>
    <row r="149" spans="1:12" x14ac:dyDescent="0.35">
      <c r="A149" s="1">
        <v>45945.758564814816</v>
      </c>
      <c r="B149" s="2">
        <f t="shared" si="6"/>
        <v>0.75856481481481486</v>
      </c>
      <c r="C149" s="3">
        <f t="shared" si="7"/>
        <v>0.11476851851851855</v>
      </c>
      <c r="D149" s="4">
        <f t="shared" si="8"/>
        <v>165.3</v>
      </c>
      <c r="E149">
        <v>19.100000000000001</v>
      </c>
      <c r="F149">
        <v>27.9</v>
      </c>
      <c r="G149">
        <v>0</v>
      </c>
      <c r="H149">
        <v>47.5</v>
      </c>
      <c r="I149">
        <v>2.68</v>
      </c>
      <c r="J149">
        <v>44.82</v>
      </c>
      <c r="K149">
        <v>70</v>
      </c>
      <c r="L149">
        <v>180</v>
      </c>
    </row>
    <row r="150" spans="1:12" x14ac:dyDescent="0.35">
      <c r="A150" s="1">
        <v>45945.759363425925</v>
      </c>
      <c r="B150" s="2">
        <f t="shared" si="6"/>
        <v>0.75936342592592587</v>
      </c>
      <c r="C150" s="3">
        <f t="shared" si="7"/>
        <v>0.11556712962962956</v>
      </c>
      <c r="D150" s="4">
        <f t="shared" si="8"/>
        <v>166.4</v>
      </c>
      <c r="E150">
        <v>16.899999999999999</v>
      </c>
      <c r="F150">
        <v>29.4</v>
      </c>
      <c r="G150">
        <v>0</v>
      </c>
      <c r="H150">
        <v>47.5</v>
      </c>
      <c r="I150">
        <v>2.82</v>
      </c>
      <c r="J150">
        <v>44.68</v>
      </c>
      <c r="K150">
        <v>70</v>
      </c>
      <c r="L150">
        <v>180</v>
      </c>
    </row>
    <row r="151" spans="1:12" x14ac:dyDescent="0.35">
      <c r="A151" s="1">
        <v>45945.760127314818</v>
      </c>
      <c r="B151" s="2">
        <f t="shared" si="6"/>
        <v>0.76012731481481477</v>
      </c>
      <c r="C151" s="3">
        <f t="shared" si="7"/>
        <v>0.11633101851851846</v>
      </c>
      <c r="D151" s="4">
        <f t="shared" si="8"/>
        <v>167.5</v>
      </c>
      <c r="E151">
        <v>14.8</v>
      </c>
      <c r="F151">
        <v>27</v>
      </c>
      <c r="G151">
        <v>0</v>
      </c>
      <c r="H151">
        <v>47.5</v>
      </c>
      <c r="I151">
        <v>2.59</v>
      </c>
      <c r="J151">
        <v>44.91</v>
      </c>
      <c r="K151">
        <v>70</v>
      </c>
      <c r="L151">
        <v>180</v>
      </c>
    </row>
    <row r="152" spans="1:12" x14ac:dyDescent="0.35">
      <c r="A152" s="1">
        <v>45945.76090277778</v>
      </c>
      <c r="B152" s="2">
        <f t="shared" si="6"/>
        <v>0.76090277777777782</v>
      </c>
      <c r="C152" s="3">
        <f t="shared" si="7"/>
        <v>0.11710648148148151</v>
      </c>
      <c r="D152" s="4">
        <f t="shared" si="8"/>
        <v>168.6</v>
      </c>
      <c r="E152">
        <v>13</v>
      </c>
      <c r="F152">
        <v>30.3</v>
      </c>
      <c r="G152">
        <v>0</v>
      </c>
      <c r="H152">
        <v>47.5</v>
      </c>
      <c r="I152">
        <v>2.91</v>
      </c>
      <c r="J152">
        <v>44.59</v>
      </c>
      <c r="K152">
        <v>70</v>
      </c>
      <c r="L152">
        <v>180</v>
      </c>
    </row>
    <row r="153" spans="1:12" x14ac:dyDescent="0.35">
      <c r="A153" s="1">
        <v>45945.761678240742</v>
      </c>
      <c r="B153" s="2">
        <f t="shared" si="6"/>
        <v>0.76167824074074075</v>
      </c>
      <c r="C153" s="3">
        <f t="shared" si="7"/>
        <v>0.11788194444444444</v>
      </c>
      <c r="D153" s="4">
        <f t="shared" si="8"/>
        <v>169.8</v>
      </c>
      <c r="E153">
        <v>11.5</v>
      </c>
      <c r="F153">
        <v>29.8</v>
      </c>
      <c r="G153">
        <v>0</v>
      </c>
      <c r="H153">
        <v>47.5</v>
      </c>
      <c r="I153">
        <v>2.86</v>
      </c>
      <c r="J153">
        <v>44.64</v>
      </c>
      <c r="K153">
        <v>70</v>
      </c>
      <c r="L153">
        <v>180</v>
      </c>
    </row>
    <row r="154" spans="1:12" x14ac:dyDescent="0.35">
      <c r="A154" s="1">
        <v>45945.762430555558</v>
      </c>
      <c r="B154" s="2">
        <f t="shared" si="6"/>
        <v>0.7624305555555555</v>
      </c>
      <c r="C154" s="3">
        <f t="shared" si="7"/>
        <v>0.11863425925925919</v>
      </c>
      <c r="D154" s="4">
        <f t="shared" si="8"/>
        <v>170.8</v>
      </c>
      <c r="E154">
        <v>10.6</v>
      </c>
      <c r="F154">
        <v>23.2</v>
      </c>
      <c r="G154">
        <v>0</v>
      </c>
      <c r="H154">
        <v>47.5</v>
      </c>
      <c r="I154">
        <v>2.23</v>
      </c>
      <c r="J154">
        <v>45.27</v>
      </c>
      <c r="K154">
        <v>70</v>
      </c>
      <c r="L154">
        <v>180</v>
      </c>
    </row>
    <row r="155" spans="1:12" x14ac:dyDescent="0.35">
      <c r="A155" s="1">
        <v>45945.763206018521</v>
      </c>
      <c r="B155" s="2">
        <f t="shared" si="6"/>
        <v>0.76320601851851855</v>
      </c>
      <c r="C155" s="3">
        <f t="shared" si="7"/>
        <v>0.11940972222222224</v>
      </c>
      <c r="D155" s="4">
        <f t="shared" si="8"/>
        <v>172</v>
      </c>
      <c r="E155">
        <v>9.9</v>
      </c>
      <c r="F155">
        <v>23</v>
      </c>
      <c r="G155">
        <v>0</v>
      </c>
      <c r="H155">
        <v>47.5</v>
      </c>
      <c r="I155">
        <v>2.21</v>
      </c>
      <c r="J155">
        <v>45.29</v>
      </c>
      <c r="K155">
        <v>70</v>
      </c>
      <c r="L155">
        <v>180</v>
      </c>
    </row>
    <row r="156" spans="1:12" x14ac:dyDescent="0.35">
      <c r="A156" s="1">
        <v>45945.764097222222</v>
      </c>
      <c r="B156" s="2">
        <f t="shared" si="6"/>
        <v>0.76409722222222221</v>
      </c>
      <c r="C156" s="3">
        <f t="shared" si="7"/>
        <v>0.12030092592592589</v>
      </c>
      <c r="D156" s="4">
        <f t="shared" si="8"/>
        <v>173.2</v>
      </c>
      <c r="E156">
        <v>9.9</v>
      </c>
      <c r="F156">
        <v>25.3</v>
      </c>
      <c r="G156">
        <v>0</v>
      </c>
      <c r="H156">
        <v>47.5</v>
      </c>
      <c r="I156">
        <v>2.4300000000000002</v>
      </c>
      <c r="J156">
        <v>45.07</v>
      </c>
      <c r="K156">
        <v>70</v>
      </c>
      <c r="L156">
        <v>180</v>
      </c>
    </row>
    <row r="157" spans="1:12" x14ac:dyDescent="0.35">
      <c r="A157" s="1">
        <v>45945.764872685184</v>
      </c>
      <c r="B157" s="2">
        <f t="shared" si="6"/>
        <v>0.76487268518518514</v>
      </c>
      <c r="C157" s="3">
        <f t="shared" si="7"/>
        <v>0.12107638888888883</v>
      </c>
      <c r="D157" s="4">
        <f t="shared" si="8"/>
        <v>174.4</v>
      </c>
      <c r="E157">
        <v>8.1</v>
      </c>
      <c r="F157">
        <v>28.3</v>
      </c>
      <c r="G157">
        <v>0</v>
      </c>
      <c r="H157">
        <v>47.5</v>
      </c>
      <c r="I157">
        <v>2.72</v>
      </c>
      <c r="J157">
        <v>44.78</v>
      </c>
      <c r="K157">
        <v>70</v>
      </c>
      <c r="L157">
        <v>180</v>
      </c>
    </row>
    <row r="158" spans="1:12" x14ac:dyDescent="0.35">
      <c r="A158" s="1">
        <v>45945.765625</v>
      </c>
      <c r="B158" s="2">
        <f t="shared" si="6"/>
        <v>0.765625</v>
      </c>
      <c r="C158" s="3">
        <f t="shared" si="7"/>
        <v>0.12182870370370369</v>
      </c>
      <c r="D158" s="4">
        <f t="shared" si="8"/>
        <v>175.4</v>
      </c>
      <c r="E158">
        <v>6.5</v>
      </c>
      <c r="F158">
        <v>26.8</v>
      </c>
      <c r="G158">
        <v>0</v>
      </c>
      <c r="H158">
        <v>47.5</v>
      </c>
      <c r="I158">
        <v>2.57</v>
      </c>
      <c r="J158">
        <v>44.93</v>
      </c>
      <c r="K158">
        <v>70</v>
      </c>
      <c r="L158">
        <v>180</v>
      </c>
    </row>
    <row r="159" spans="1:12" x14ac:dyDescent="0.35">
      <c r="A159" s="1">
        <v>45945.766388888886</v>
      </c>
      <c r="B159" s="2">
        <f t="shared" si="6"/>
        <v>0.7663888888888889</v>
      </c>
      <c r="C159" s="3">
        <f t="shared" si="7"/>
        <v>0.12259259259259259</v>
      </c>
      <c r="D159" s="4">
        <f t="shared" si="8"/>
        <v>176.5</v>
      </c>
      <c r="E159">
        <v>5.4</v>
      </c>
      <c r="F159">
        <v>23.9</v>
      </c>
      <c r="G159">
        <v>0</v>
      </c>
      <c r="H159">
        <v>47.5</v>
      </c>
      <c r="I159">
        <v>2.29</v>
      </c>
      <c r="J159">
        <v>45.21</v>
      </c>
      <c r="K159">
        <v>70</v>
      </c>
      <c r="L159">
        <v>180</v>
      </c>
    </row>
    <row r="160" spans="1:12" x14ac:dyDescent="0.35">
      <c r="A160" s="1">
        <v>45945.767152777778</v>
      </c>
      <c r="B160" s="2">
        <f t="shared" si="6"/>
        <v>0.76715277777777779</v>
      </c>
      <c r="C160" s="3">
        <f t="shared" si="7"/>
        <v>0.12335648148148148</v>
      </c>
      <c r="D160" s="4">
        <f t="shared" si="8"/>
        <v>177.6</v>
      </c>
      <c r="E160">
        <v>6.1</v>
      </c>
      <c r="F160">
        <v>18.899999999999999</v>
      </c>
      <c r="G160">
        <v>0</v>
      </c>
      <c r="H160">
        <v>47.5</v>
      </c>
      <c r="I160">
        <v>1.81</v>
      </c>
      <c r="J160">
        <v>45.69</v>
      </c>
      <c r="K160">
        <v>70</v>
      </c>
      <c r="L160">
        <v>180</v>
      </c>
    </row>
    <row r="161" spans="1:12" x14ac:dyDescent="0.35">
      <c r="A161" s="1">
        <v>45945.767916666664</v>
      </c>
      <c r="B161" s="2">
        <f t="shared" si="6"/>
        <v>0.76791666666666669</v>
      </c>
      <c r="C161" s="3">
        <f t="shared" si="7"/>
        <v>0.12412037037037038</v>
      </c>
      <c r="D161" s="4">
        <f t="shared" si="8"/>
        <v>178.7</v>
      </c>
      <c r="E161">
        <v>6.8</v>
      </c>
      <c r="F161">
        <v>22.9</v>
      </c>
      <c r="G161">
        <v>0</v>
      </c>
      <c r="H161">
        <v>47.5</v>
      </c>
      <c r="I161">
        <v>2.2000000000000002</v>
      </c>
      <c r="J161">
        <v>45.3</v>
      </c>
      <c r="K161">
        <v>70</v>
      </c>
      <c r="L161">
        <v>180</v>
      </c>
    </row>
    <row r="162" spans="1:12" x14ac:dyDescent="0.35">
      <c r="A162" s="1">
        <v>45945.76866898148</v>
      </c>
      <c r="B162" s="2">
        <f t="shared" si="6"/>
        <v>0.76866898148148144</v>
      </c>
      <c r="C162" s="3">
        <f t="shared" si="7"/>
        <v>0.12487268518518513</v>
      </c>
      <c r="D162" s="4">
        <f t="shared" si="8"/>
        <v>179.8</v>
      </c>
      <c r="E162">
        <v>6.3</v>
      </c>
      <c r="F162">
        <v>24.1</v>
      </c>
      <c r="G162">
        <v>0</v>
      </c>
      <c r="H162">
        <v>47.5</v>
      </c>
      <c r="I162">
        <v>2.31</v>
      </c>
      <c r="J162">
        <v>45.19</v>
      </c>
      <c r="K162">
        <v>70</v>
      </c>
      <c r="L162">
        <v>180</v>
      </c>
    </row>
    <row r="163" spans="1:12" x14ac:dyDescent="0.35">
      <c r="A163" s="1">
        <v>45945.769432870373</v>
      </c>
      <c r="B163" s="2">
        <f t="shared" si="6"/>
        <v>0.76943287037037034</v>
      </c>
      <c r="C163" s="3">
        <f t="shared" si="7"/>
        <v>0.12563657407407403</v>
      </c>
      <c r="D163" s="4">
        <f t="shared" si="8"/>
        <v>180.9</v>
      </c>
      <c r="E163">
        <v>5.2</v>
      </c>
      <c r="F163">
        <v>25.6</v>
      </c>
      <c r="G163">
        <v>0</v>
      </c>
      <c r="H163">
        <v>47.5</v>
      </c>
      <c r="I163">
        <v>2.46</v>
      </c>
      <c r="J163">
        <v>45.04</v>
      </c>
      <c r="K163">
        <v>70</v>
      </c>
      <c r="L163">
        <v>180</v>
      </c>
    </row>
    <row r="164" spans="1:12" x14ac:dyDescent="0.35">
      <c r="A164" s="1">
        <v>45945.770185185182</v>
      </c>
      <c r="B164" s="2">
        <f t="shared" si="6"/>
        <v>0.77018518518518519</v>
      </c>
      <c r="C164" s="3">
        <f t="shared" si="7"/>
        <v>0.12638888888888888</v>
      </c>
      <c r="D164" s="4">
        <f t="shared" si="8"/>
        <v>182</v>
      </c>
      <c r="E164">
        <v>3.4</v>
      </c>
      <c r="F164">
        <v>23.8</v>
      </c>
      <c r="G164">
        <v>0</v>
      </c>
      <c r="H164">
        <v>47.5</v>
      </c>
      <c r="I164">
        <v>2.2799999999999998</v>
      </c>
      <c r="J164">
        <v>45.22</v>
      </c>
      <c r="K164">
        <v>70</v>
      </c>
      <c r="L164">
        <v>180</v>
      </c>
    </row>
    <row r="165" spans="1:12" x14ac:dyDescent="0.35">
      <c r="A165" s="1">
        <v>45945.770949074074</v>
      </c>
      <c r="B165" s="2">
        <f t="shared" si="6"/>
        <v>0.77094907407407409</v>
      </c>
      <c r="C165" s="3">
        <f t="shared" si="7"/>
        <v>0.12715277777777778</v>
      </c>
      <c r="D165" s="4">
        <f t="shared" si="8"/>
        <v>183.1</v>
      </c>
      <c r="E165">
        <v>2.2999999999999998</v>
      </c>
      <c r="F165">
        <v>23.8</v>
      </c>
      <c r="G165">
        <v>0</v>
      </c>
      <c r="H165">
        <v>47.5</v>
      </c>
      <c r="I165">
        <v>2.2799999999999998</v>
      </c>
      <c r="J165">
        <v>45.22</v>
      </c>
      <c r="K165">
        <v>70</v>
      </c>
      <c r="L165">
        <v>180</v>
      </c>
    </row>
    <row r="166" spans="1:12" x14ac:dyDescent="0.35">
      <c r="A166" s="1">
        <v>45945.771724537037</v>
      </c>
      <c r="B166" s="2">
        <f t="shared" si="6"/>
        <v>0.77172453703703703</v>
      </c>
      <c r="C166" s="3">
        <f t="shared" si="7"/>
        <v>0.12792824074074072</v>
      </c>
      <c r="D166" s="4">
        <f t="shared" si="8"/>
        <v>184.2</v>
      </c>
      <c r="E166">
        <v>2.2999999999999998</v>
      </c>
      <c r="F166">
        <v>21.1</v>
      </c>
      <c r="G166">
        <v>0</v>
      </c>
      <c r="H166">
        <v>47.5</v>
      </c>
      <c r="I166">
        <v>2.02</v>
      </c>
      <c r="J166">
        <v>45.48</v>
      </c>
      <c r="K166">
        <v>70</v>
      </c>
      <c r="L166">
        <v>180</v>
      </c>
    </row>
    <row r="167" spans="1:12" x14ac:dyDescent="0.35">
      <c r="A167" s="1">
        <v>45945.772488425922</v>
      </c>
      <c r="B167" s="2">
        <f t="shared" si="6"/>
        <v>0.77248842592592593</v>
      </c>
      <c r="C167" s="3">
        <f t="shared" si="7"/>
        <v>0.12869212962962961</v>
      </c>
      <c r="D167" s="4">
        <f t="shared" si="8"/>
        <v>185.3</v>
      </c>
      <c r="E167">
        <v>2.9</v>
      </c>
      <c r="F167">
        <v>14.7</v>
      </c>
      <c r="G167">
        <v>0</v>
      </c>
      <c r="H167">
        <v>47.5</v>
      </c>
      <c r="I167">
        <v>1.41</v>
      </c>
      <c r="J167">
        <v>46.09</v>
      </c>
      <c r="K167">
        <v>70</v>
      </c>
      <c r="L167">
        <v>180</v>
      </c>
    </row>
    <row r="168" spans="1:12" x14ac:dyDescent="0.35">
      <c r="A168" s="1">
        <v>45945.773252314815</v>
      </c>
      <c r="B168" s="2">
        <f t="shared" si="6"/>
        <v>0.77325231481481482</v>
      </c>
      <c r="C168" s="3">
        <f t="shared" si="7"/>
        <v>0.12945601851851851</v>
      </c>
      <c r="D168" s="4">
        <f t="shared" si="8"/>
        <v>186.4</v>
      </c>
      <c r="E168">
        <v>2.9</v>
      </c>
      <c r="F168">
        <v>23.4</v>
      </c>
      <c r="G168">
        <v>0</v>
      </c>
      <c r="H168">
        <v>47.5</v>
      </c>
      <c r="I168">
        <v>2.25</v>
      </c>
      <c r="J168">
        <v>45.25</v>
      </c>
      <c r="K168">
        <v>70</v>
      </c>
      <c r="L168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adult_007_20251015_152715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Bird, Anna R</dc:creator>
  <cp:lastModifiedBy>Bird, Anna R</cp:lastModifiedBy>
  <dcterms:created xsi:type="dcterms:W3CDTF">2025-10-17T02:53:32Z</dcterms:created>
  <dcterms:modified xsi:type="dcterms:W3CDTF">2025-12-16T10:01:49Z</dcterms:modified>
</cp:coreProperties>
</file>
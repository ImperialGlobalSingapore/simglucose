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rbird_ic_ac_uk/Documents/Desktop/Documents/Research/Glucose Test Rig/Data/Fall 2025 Data/Test Rig Attacks/"/>
    </mc:Choice>
  </mc:AlternateContent>
  <xr:revisionPtr revIDLastSave="2" documentId="8_{0E8CA963-C577-426B-9EBE-7B8C0C66B317}" xr6:coauthVersionLast="47" xr6:coauthVersionMax="47" xr10:uidLastSave="{EDD2769D-A1A8-49EB-8FAE-7DAC533CA7C6}"/>
  <bookViews>
    <workbookView xWindow="-120" yWindow="-16320" windowWidth="29040" windowHeight="15720" xr2:uid="{F0FE5CDF-23EC-4543-9793-D267075D045D}"/>
  </bookViews>
  <sheets>
    <sheet name="adult_007_20251017_102741" sheetId="1" r:id="rId1"/>
    <sheet name="adult_007_20251016_171748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4" i="2" l="1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2" i="2"/>
  <c r="G3" i="2" s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2" i="1" s="1"/>
  <c r="G3" i="1" s="1"/>
  <c r="G9" i="1"/>
  <c r="G8" i="1"/>
  <c r="G7" i="1"/>
  <c r="G6" i="1"/>
  <c r="G5" i="1"/>
</calcChain>
</file>

<file path=xl/sharedStrings.xml><?xml version="1.0" encoding="utf-8"?>
<sst xmlns="http://schemas.openxmlformats.org/spreadsheetml/2006/main" count="18" uniqueCount="10">
  <si>
    <t>N =</t>
  </si>
  <si>
    <t xml:space="preserve">sum = </t>
  </si>
  <si>
    <t xml:space="preserve">MARD = </t>
  </si>
  <si>
    <t>timestamp</t>
  </si>
  <si>
    <t>Time (min)</t>
  </si>
  <si>
    <t>CGM_reading</t>
  </si>
  <si>
    <t>Paitent_glucose</t>
  </si>
  <si>
    <t>MARD</t>
  </si>
  <si>
    <t>insulin</t>
  </si>
  <si>
    <t>insulin (U/??)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</si>
</sst>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[1]adult_007_20251017_102741!$E$4</c:f>
              <c:strCache>
                <c:ptCount val="1"/>
                <c:pt idx="0">
                  <c:v>CGM_reading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[1]adult_007_20251017_102741!$D$5:$D$254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[1]adult_007_20251017_102741!$E$5:$E$254</c:f>
              <c:numCache>
                <c:formatCode>General</c:formatCode>
                <c:ptCount val="250"/>
                <c:pt idx="0">
                  <c:v>121.1</c:v>
                </c:pt>
                <c:pt idx="1">
                  <c:v>121.1</c:v>
                </c:pt>
                <c:pt idx="2">
                  <c:v>121.5</c:v>
                </c:pt>
                <c:pt idx="3">
                  <c:v>122.2</c:v>
                </c:pt>
                <c:pt idx="4">
                  <c:v>122.6</c:v>
                </c:pt>
                <c:pt idx="5">
                  <c:v>122.9</c:v>
                </c:pt>
                <c:pt idx="6">
                  <c:v>124.4</c:v>
                </c:pt>
                <c:pt idx="7">
                  <c:v>124.2</c:v>
                </c:pt>
                <c:pt idx="8">
                  <c:v>122.9</c:v>
                </c:pt>
                <c:pt idx="9">
                  <c:v>122.2</c:v>
                </c:pt>
                <c:pt idx="10">
                  <c:v>121.5</c:v>
                </c:pt>
                <c:pt idx="11">
                  <c:v>124</c:v>
                </c:pt>
                <c:pt idx="12">
                  <c:v>126</c:v>
                </c:pt>
                <c:pt idx="13">
                  <c:v>128</c:v>
                </c:pt>
                <c:pt idx="14">
                  <c:v>130</c:v>
                </c:pt>
                <c:pt idx="15">
                  <c:v>131.9</c:v>
                </c:pt>
                <c:pt idx="16">
                  <c:v>119.7</c:v>
                </c:pt>
                <c:pt idx="17">
                  <c:v>136.1</c:v>
                </c:pt>
                <c:pt idx="18">
                  <c:v>138.1</c:v>
                </c:pt>
                <c:pt idx="19">
                  <c:v>140</c:v>
                </c:pt>
                <c:pt idx="20">
                  <c:v>142</c:v>
                </c:pt>
                <c:pt idx="21">
                  <c:v>144</c:v>
                </c:pt>
                <c:pt idx="22">
                  <c:v>146</c:v>
                </c:pt>
                <c:pt idx="23">
                  <c:v>148</c:v>
                </c:pt>
                <c:pt idx="24">
                  <c:v>149.9</c:v>
                </c:pt>
                <c:pt idx="25">
                  <c:v>151.9</c:v>
                </c:pt>
                <c:pt idx="26">
                  <c:v>154.1</c:v>
                </c:pt>
                <c:pt idx="27">
                  <c:v>122.6</c:v>
                </c:pt>
                <c:pt idx="28">
                  <c:v>160</c:v>
                </c:pt>
                <c:pt idx="29">
                  <c:v>162</c:v>
                </c:pt>
                <c:pt idx="30">
                  <c:v>164</c:v>
                </c:pt>
                <c:pt idx="31">
                  <c:v>166</c:v>
                </c:pt>
                <c:pt idx="32">
                  <c:v>167.9</c:v>
                </c:pt>
                <c:pt idx="33">
                  <c:v>169.9</c:v>
                </c:pt>
                <c:pt idx="34">
                  <c:v>172.1</c:v>
                </c:pt>
                <c:pt idx="35">
                  <c:v>174.1</c:v>
                </c:pt>
                <c:pt idx="36">
                  <c:v>176</c:v>
                </c:pt>
                <c:pt idx="37">
                  <c:v>178</c:v>
                </c:pt>
                <c:pt idx="38">
                  <c:v>180</c:v>
                </c:pt>
                <c:pt idx="39">
                  <c:v>182</c:v>
                </c:pt>
                <c:pt idx="40">
                  <c:v>184</c:v>
                </c:pt>
                <c:pt idx="41">
                  <c:v>185.9</c:v>
                </c:pt>
                <c:pt idx="42">
                  <c:v>187.9</c:v>
                </c:pt>
                <c:pt idx="43">
                  <c:v>190.1</c:v>
                </c:pt>
                <c:pt idx="44">
                  <c:v>192.1</c:v>
                </c:pt>
                <c:pt idx="45">
                  <c:v>194</c:v>
                </c:pt>
                <c:pt idx="46">
                  <c:v>196</c:v>
                </c:pt>
                <c:pt idx="47">
                  <c:v>198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198</c:v>
                </c:pt>
                <c:pt idx="52">
                  <c:v>120.2</c:v>
                </c:pt>
                <c:pt idx="53">
                  <c:v>121.5</c:v>
                </c:pt>
                <c:pt idx="54">
                  <c:v>122.6</c:v>
                </c:pt>
                <c:pt idx="55">
                  <c:v>119.7</c:v>
                </c:pt>
                <c:pt idx="56">
                  <c:v>119.3</c:v>
                </c:pt>
                <c:pt idx="57">
                  <c:v>118.8</c:v>
                </c:pt>
                <c:pt idx="58">
                  <c:v>119.9</c:v>
                </c:pt>
                <c:pt idx="59">
                  <c:v>121.1</c:v>
                </c:pt>
                <c:pt idx="60">
                  <c:v>120.2</c:v>
                </c:pt>
                <c:pt idx="61">
                  <c:v>120.2</c:v>
                </c:pt>
                <c:pt idx="62">
                  <c:v>118.8</c:v>
                </c:pt>
                <c:pt idx="63">
                  <c:v>118.1</c:v>
                </c:pt>
                <c:pt idx="64">
                  <c:v>118.1</c:v>
                </c:pt>
                <c:pt idx="65">
                  <c:v>117.7</c:v>
                </c:pt>
                <c:pt idx="66">
                  <c:v>116.6</c:v>
                </c:pt>
                <c:pt idx="67">
                  <c:v>116.8</c:v>
                </c:pt>
                <c:pt idx="68">
                  <c:v>116.6</c:v>
                </c:pt>
                <c:pt idx="69">
                  <c:v>118.3</c:v>
                </c:pt>
                <c:pt idx="70">
                  <c:v>120.1</c:v>
                </c:pt>
                <c:pt idx="71">
                  <c:v>119.7</c:v>
                </c:pt>
                <c:pt idx="72">
                  <c:v>119.5</c:v>
                </c:pt>
                <c:pt idx="73">
                  <c:v>119.3</c:v>
                </c:pt>
                <c:pt idx="74">
                  <c:v>119.9</c:v>
                </c:pt>
                <c:pt idx="75">
                  <c:v>119.2</c:v>
                </c:pt>
                <c:pt idx="76">
                  <c:v>117.9</c:v>
                </c:pt>
                <c:pt idx="77">
                  <c:v>116.6</c:v>
                </c:pt>
                <c:pt idx="78">
                  <c:v>118.3</c:v>
                </c:pt>
                <c:pt idx="79">
                  <c:v>120.4</c:v>
                </c:pt>
                <c:pt idx="80">
                  <c:v>122.4</c:v>
                </c:pt>
                <c:pt idx="81">
                  <c:v>124.4</c:v>
                </c:pt>
                <c:pt idx="82">
                  <c:v>126.4</c:v>
                </c:pt>
                <c:pt idx="83">
                  <c:v>128.30000000000001</c:v>
                </c:pt>
                <c:pt idx="84">
                  <c:v>130.30000000000001</c:v>
                </c:pt>
                <c:pt idx="85">
                  <c:v>132.30000000000001</c:v>
                </c:pt>
                <c:pt idx="86">
                  <c:v>134.30000000000001</c:v>
                </c:pt>
                <c:pt idx="87">
                  <c:v>136.30000000000001</c:v>
                </c:pt>
                <c:pt idx="88">
                  <c:v>112</c:v>
                </c:pt>
                <c:pt idx="89">
                  <c:v>112.3</c:v>
                </c:pt>
                <c:pt idx="90">
                  <c:v>144.4</c:v>
                </c:pt>
                <c:pt idx="91">
                  <c:v>146.30000000000001</c:v>
                </c:pt>
                <c:pt idx="92">
                  <c:v>148.30000000000001</c:v>
                </c:pt>
                <c:pt idx="93">
                  <c:v>150.30000000000001</c:v>
                </c:pt>
                <c:pt idx="94">
                  <c:v>152.30000000000001</c:v>
                </c:pt>
                <c:pt idx="95">
                  <c:v>154.30000000000001</c:v>
                </c:pt>
                <c:pt idx="96">
                  <c:v>156.4</c:v>
                </c:pt>
                <c:pt idx="97">
                  <c:v>158.4</c:v>
                </c:pt>
                <c:pt idx="98">
                  <c:v>160.4</c:v>
                </c:pt>
                <c:pt idx="99">
                  <c:v>162.4</c:v>
                </c:pt>
                <c:pt idx="100">
                  <c:v>164.3</c:v>
                </c:pt>
                <c:pt idx="101">
                  <c:v>166.3</c:v>
                </c:pt>
                <c:pt idx="102">
                  <c:v>168.3</c:v>
                </c:pt>
                <c:pt idx="103">
                  <c:v>170.3</c:v>
                </c:pt>
                <c:pt idx="104">
                  <c:v>172.3</c:v>
                </c:pt>
                <c:pt idx="105">
                  <c:v>174.4</c:v>
                </c:pt>
                <c:pt idx="106">
                  <c:v>176.4</c:v>
                </c:pt>
                <c:pt idx="107">
                  <c:v>178.4</c:v>
                </c:pt>
                <c:pt idx="108">
                  <c:v>180.4</c:v>
                </c:pt>
                <c:pt idx="109">
                  <c:v>182.3</c:v>
                </c:pt>
                <c:pt idx="110">
                  <c:v>184.3</c:v>
                </c:pt>
                <c:pt idx="111">
                  <c:v>186.3</c:v>
                </c:pt>
                <c:pt idx="112">
                  <c:v>188.3</c:v>
                </c:pt>
                <c:pt idx="113">
                  <c:v>190.3</c:v>
                </c:pt>
                <c:pt idx="114">
                  <c:v>106.7</c:v>
                </c:pt>
                <c:pt idx="115">
                  <c:v>104.9</c:v>
                </c:pt>
                <c:pt idx="116">
                  <c:v>104</c:v>
                </c:pt>
                <c:pt idx="117">
                  <c:v>105.7</c:v>
                </c:pt>
                <c:pt idx="118">
                  <c:v>105.5</c:v>
                </c:pt>
                <c:pt idx="119">
                  <c:v>105.1</c:v>
                </c:pt>
                <c:pt idx="120">
                  <c:v>104.6</c:v>
                </c:pt>
                <c:pt idx="121">
                  <c:v>104.2</c:v>
                </c:pt>
                <c:pt idx="122">
                  <c:v>104</c:v>
                </c:pt>
                <c:pt idx="123">
                  <c:v>103.3</c:v>
                </c:pt>
                <c:pt idx="124">
                  <c:v>102.2</c:v>
                </c:pt>
                <c:pt idx="125">
                  <c:v>101.9</c:v>
                </c:pt>
                <c:pt idx="126">
                  <c:v>101.3</c:v>
                </c:pt>
                <c:pt idx="127">
                  <c:v>101.3</c:v>
                </c:pt>
                <c:pt idx="128">
                  <c:v>101.2</c:v>
                </c:pt>
                <c:pt idx="129">
                  <c:v>101.5</c:v>
                </c:pt>
                <c:pt idx="130">
                  <c:v>102.6</c:v>
                </c:pt>
                <c:pt idx="131">
                  <c:v>102.4</c:v>
                </c:pt>
                <c:pt idx="132">
                  <c:v>102.2</c:v>
                </c:pt>
                <c:pt idx="133">
                  <c:v>102.1</c:v>
                </c:pt>
                <c:pt idx="134">
                  <c:v>102.6</c:v>
                </c:pt>
                <c:pt idx="135">
                  <c:v>102.2</c:v>
                </c:pt>
                <c:pt idx="136">
                  <c:v>102.4</c:v>
                </c:pt>
                <c:pt idx="137">
                  <c:v>102.1</c:v>
                </c:pt>
                <c:pt idx="138">
                  <c:v>101.7</c:v>
                </c:pt>
                <c:pt idx="139">
                  <c:v>101</c:v>
                </c:pt>
                <c:pt idx="140">
                  <c:v>101.2</c:v>
                </c:pt>
                <c:pt idx="141">
                  <c:v>101.2</c:v>
                </c:pt>
                <c:pt idx="142">
                  <c:v>99.2</c:v>
                </c:pt>
                <c:pt idx="143">
                  <c:v>96.7</c:v>
                </c:pt>
                <c:pt idx="144">
                  <c:v>96.3</c:v>
                </c:pt>
                <c:pt idx="145">
                  <c:v>97</c:v>
                </c:pt>
                <c:pt idx="146">
                  <c:v>96.1</c:v>
                </c:pt>
                <c:pt idx="147">
                  <c:v>94.7</c:v>
                </c:pt>
                <c:pt idx="148">
                  <c:v>95.6</c:v>
                </c:pt>
                <c:pt idx="149">
                  <c:v>96.8</c:v>
                </c:pt>
                <c:pt idx="150">
                  <c:v>97.9</c:v>
                </c:pt>
                <c:pt idx="151">
                  <c:v>97.2</c:v>
                </c:pt>
                <c:pt idx="152">
                  <c:v>96.3</c:v>
                </c:pt>
                <c:pt idx="153">
                  <c:v>96.5</c:v>
                </c:pt>
                <c:pt idx="154">
                  <c:v>96.7</c:v>
                </c:pt>
                <c:pt idx="155">
                  <c:v>99.2</c:v>
                </c:pt>
                <c:pt idx="156">
                  <c:v>101.2</c:v>
                </c:pt>
                <c:pt idx="157">
                  <c:v>103.1</c:v>
                </c:pt>
                <c:pt idx="158">
                  <c:v>105.1</c:v>
                </c:pt>
                <c:pt idx="159">
                  <c:v>95.2</c:v>
                </c:pt>
                <c:pt idx="160">
                  <c:v>94.7</c:v>
                </c:pt>
                <c:pt idx="161">
                  <c:v>113.2</c:v>
                </c:pt>
                <c:pt idx="162">
                  <c:v>115.2</c:v>
                </c:pt>
                <c:pt idx="163">
                  <c:v>117.2</c:v>
                </c:pt>
                <c:pt idx="164">
                  <c:v>119.2</c:v>
                </c:pt>
                <c:pt idx="165">
                  <c:v>121.1</c:v>
                </c:pt>
                <c:pt idx="166">
                  <c:v>123.1</c:v>
                </c:pt>
                <c:pt idx="167">
                  <c:v>125.1</c:v>
                </c:pt>
                <c:pt idx="168">
                  <c:v>127.1</c:v>
                </c:pt>
                <c:pt idx="169">
                  <c:v>129.19999999999999</c:v>
                </c:pt>
                <c:pt idx="170">
                  <c:v>131.19999999999999</c:v>
                </c:pt>
                <c:pt idx="171">
                  <c:v>133.19999999999999</c:v>
                </c:pt>
                <c:pt idx="172">
                  <c:v>135.19999999999999</c:v>
                </c:pt>
                <c:pt idx="173">
                  <c:v>137.19999999999999</c:v>
                </c:pt>
                <c:pt idx="174">
                  <c:v>139.1</c:v>
                </c:pt>
                <c:pt idx="175">
                  <c:v>141.1</c:v>
                </c:pt>
                <c:pt idx="176">
                  <c:v>143.1</c:v>
                </c:pt>
                <c:pt idx="177">
                  <c:v>145.1</c:v>
                </c:pt>
                <c:pt idx="178">
                  <c:v>147.19999999999999</c:v>
                </c:pt>
                <c:pt idx="179">
                  <c:v>149.19999999999999</c:v>
                </c:pt>
                <c:pt idx="180">
                  <c:v>151.19999999999999</c:v>
                </c:pt>
                <c:pt idx="181">
                  <c:v>153.19999999999999</c:v>
                </c:pt>
                <c:pt idx="182">
                  <c:v>155.19999999999999</c:v>
                </c:pt>
                <c:pt idx="183">
                  <c:v>157.1</c:v>
                </c:pt>
                <c:pt idx="184">
                  <c:v>159.1</c:v>
                </c:pt>
                <c:pt idx="185">
                  <c:v>98.5</c:v>
                </c:pt>
                <c:pt idx="186">
                  <c:v>160</c:v>
                </c:pt>
                <c:pt idx="187">
                  <c:v>160</c:v>
                </c:pt>
                <c:pt idx="188">
                  <c:v>158</c:v>
                </c:pt>
                <c:pt idx="189">
                  <c:v>158</c:v>
                </c:pt>
                <c:pt idx="190">
                  <c:v>158</c:v>
                </c:pt>
                <c:pt idx="191">
                  <c:v>158</c:v>
                </c:pt>
                <c:pt idx="192">
                  <c:v>158</c:v>
                </c:pt>
                <c:pt idx="193">
                  <c:v>158</c:v>
                </c:pt>
                <c:pt idx="194">
                  <c:v>158</c:v>
                </c:pt>
                <c:pt idx="195">
                  <c:v>158</c:v>
                </c:pt>
                <c:pt idx="196">
                  <c:v>158</c:v>
                </c:pt>
                <c:pt idx="197">
                  <c:v>158</c:v>
                </c:pt>
                <c:pt idx="198">
                  <c:v>158</c:v>
                </c:pt>
                <c:pt idx="199">
                  <c:v>158</c:v>
                </c:pt>
                <c:pt idx="200">
                  <c:v>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E-476E-B6EB-739D274B14D1}"/>
            </c:ext>
          </c:extLst>
        </c:ser>
        <c:ser>
          <c:idx val="0"/>
          <c:order val="1"/>
          <c:tx>
            <c:strRef>
              <c:f>[1]adult_007_20251017_102741!$F$4</c:f>
              <c:strCache>
                <c:ptCount val="1"/>
                <c:pt idx="0">
                  <c:v>Paitent_glucose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[1]adult_007_20251017_102741!$D$5:$D$254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[1]adult_007_20251017_102741!$F$5:$F$254</c:f>
              <c:numCache>
                <c:formatCode>General</c:formatCode>
                <c:ptCount val="250"/>
                <c:pt idx="0">
                  <c:v>119.8</c:v>
                </c:pt>
                <c:pt idx="1">
                  <c:v>117.6</c:v>
                </c:pt>
                <c:pt idx="2">
                  <c:v>119.1</c:v>
                </c:pt>
                <c:pt idx="3">
                  <c:v>119.1</c:v>
                </c:pt>
                <c:pt idx="4">
                  <c:v>116.3</c:v>
                </c:pt>
                <c:pt idx="5">
                  <c:v>112.3</c:v>
                </c:pt>
                <c:pt idx="6">
                  <c:v>118</c:v>
                </c:pt>
                <c:pt idx="7">
                  <c:v>114</c:v>
                </c:pt>
                <c:pt idx="8">
                  <c:v>118.2</c:v>
                </c:pt>
                <c:pt idx="9">
                  <c:v>115.7</c:v>
                </c:pt>
                <c:pt idx="10">
                  <c:v>110.6</c:v>
                </c:pt>
                <c:pt idx="11">
                  <c:v>116.5</c:v>
                </c:pt>
                <c:pt idx="12">
                  <c:v>111.3</c:v>
                </c:pt>
                <c:pt idx="13">
                  <c:v>111.6</c:v>
                </c:pt>
                <c:pt idx="14">
                  <c:v>113.6</c:v>
                </c:pt>
                <c:pt idx="15">
                  <c:v>117.6</c:v>
                </c:pt>
                <c:pt idx="16">
                  <c:v>118.3</c:v>
                </c:pt>
                <c:pt idx="17">
                  <c:v>111</c:v>
                </c:pt>
                <c:pt idx="18">
                  <c:v>112.1</c:v>
                </c:pt>
                <c:pt idx="19">
                  <c:v>118.1</c:v>
                </c:pt>
                <c:pt idx="20">
                  <c:v>113.3</c:v>
                </c:pt>
                <c:pt idx="21">
                  <c:v>118</c:v>
                </c:pt>
                <c:pt idx="22">
                  <c:v>119.1</c:v>
                </c:pt>
                <c:pt idx="23">
                  <c:v>113</c:v>
                </c:pt>
                <c:pt idx="24">
                  <c:v>117.4</c:v>
                </c:pt>
                <c:pt idx="25">
                  <c:v>114</c:v>
                </c:pt>
                <c:pt idx="26">
                  <c:v>118</c:v>
                </c:pt>
                <c:pt idx="27">
                  <c:v>111.1</c:v>
                </c:pt>
                <c:pt idx="28">
                  <c:v>115.2</c:v>
                </c:pt>
                <c:pt idx="29">
                  <c:v>116.7</c:v>
                </c:pt>
                <c:pt idx="30">
                  <c:v>110.8</c:v>
                </c:pt>
                <c:pt idx="31">
                  <c:v>117</c:v>
                </c:pt>
                <c:pt idx="32">
                  <c:v>115</c:v>
                </c:pt>
                <c:pt idx="33">
                  <c:v>116.1</c:v>
                </c:pt>
                <c:pt idx="34">
                  <c:v>116</c:v>
                </c:pt>
                <c:pt idx="35">
                  <c:v>111</c:v>
                </c:pt>
                <c:pt idx="36">
                  <c:v>115</c:v>
                </c:pt>
                <c:pt idx="37">
                  <c:v>111.4</c:v>
                </c:pt>
                <c:pt idx="38">
                  <c:v>111.8</c:v>
                </c:pt>
                <c:pt idx="39">
                  <c:v>118.6</c:v>
                </c:pt>
                <c:pt idx="40">
                  <c:v>113.1</c:v>
                </c:pt>
                <c:pt idx="41">
                  <c:v>114.5</c:v>
                </c:pt>
                <c:pt idx="42">
                  <c:v>116.3</c:v>
                </c:pt>
                <c:pt idx="43">
                  <c:v>116.7</c:v>
                </c:pt>
                <c:pt idx="44">
                  <c:v>115.2</c:v>
                </c:pt>
                <c:pt idx="45">
                  <c:v>119.3</c:v>
                </c:pt>
                <c:pt idx="46">
                  <c:v>113.4</c:v>
                </c:pt>
                <c:pt idx="47">
                  <c:v>113.1</c:v>
                </c:pt>
                <c:pt idx="48">
                  <c:v>112.7</c:v>
                </c:pt>
                <c:pt idx="49">
                  <c:v>117.1</c:v>
                </c:pt>
                <c:pt idx="50">
                  <c:v>119.5</c:v>
                </c:pt>
                <c:pt idx="51">
                  <c:v>116.3</c:v>
                </c:pt>
                <c:pt idx="52">
                  <c:v>109.9</c:v>
                </c:pt>
                <c:pt idx="53">
                  <c:v>114.4</c:v>
                </c:pt>
                <c:pt idx="54">
                  <c:v>113.1</c:v>
                </c:pt>
                <c:pt idx="55">
                  <c:v>115.7</c:v>
                </c:pt>
                <c:pt idx="56">
                  <c:v>117.9</c:v>
                </c:pt>
                <c:pt idx="57">
                  <c:v>111.3</c:v>
                </c:pt>
                <c:pt idx="58">
                  <c:v>114.8</c:v>
                </c:pt>
                <c:pt idx="59">
                  <c:v>109.9</c:v>
                </c:pt>
                <c:pt idx="60">
                  <c:v>113</c:v>
                </c:pt>
                <c:pt idx="61">
                  <c:v>114.1</c:v>
                </c:pt>
                <c:pt idx="62">
                  <c:v>111.5</c:v>
                </c:pt>
                <c:pt idx="63">
                  <c:v>110.9</c:v>
                </c:pt>
                <c:pt idx="64">
                  <c:v>114.9</c:v>
                </c:pt>
                <c:pt idx="65">
                  <c:v>109.6</c:v>
                </c:pt>
                <c:pt idx="66">
                  <c:v>116.3</c:v>
                </c:pt>
                <c:pt idx="67">
                  <c:v>118.3</c:v>
                </c:pt>
                <c:pt idx="68">
                  <c:v>113.8</c:v>
                </c:pt>
                <c:pt idx="69">
                  <c:v>112.3</c:v>
                </c:pt>
                <c:pt idx="70">
                  <c:v>116.3</c:v>
                </c:pt>
                <c:pt idx="71">
                  <c:v>117.4</c:v>
                </c:pt>
                <c:pt idx="72">
                  <c:v>113.1</c:v>
                </c:pt>
                <c:pt idx="73">
                  <c:v>111.1</c:v>
                </c:pt>
                <c:pt idx="74">
                  <c:v>113.4</c:v>
                </c:pt>
                <c:pt idx="75">
                  <c:v>112.4</c:v>
                </c:pt>
                <c:pt idx="76">
                  <c:v>115</c:v>
                </c:pt>
                <c:pt idx="77">
                  <c:v>115</c:v>
                </c:pt>
                <c:pt idx="78">
                  <c:v>110.1</c:v>
                </c:pt>
                <c:pt idx="79">
                  <c:v>116.2</c:v>
                </c:pt>
                <c:pt idx="80">
                  <c:v>107.3</c:v>
                </c:pt>
                <c:pt idx="81">
                  <c:v>107.2</c:v>
                </c:pt>
                <c:pt idx="82">
                  <c:v>113.7</c:v>
                </c:pt>
                <c:pt idx="83">
                  <c:v>109</c:v>
                </c:pt>
                <c:pt idx="84">
                  <c:v>106.1</c:v>
                </c:pt>
                <c:pt idx="85">
                  <c:v>112.7</c:v>
                </c:pt>
                <c:pt idx="86">
                  <c:v>106.9</c:v>
                </c:pt>
                <c:pt idx="87">
                  <c:v>107.6</c:v>
                </c:pt>
                <c:pt idx="88">
                  <c:v>105.3</c:v>
                </c:pt>
                <c:pt idx="89">
                  <c:v>113.4</c:v>
                </c:pt>
                <c:pt idx="90">
                  <c:v>110.6</c:v>
                </c:pt>
                <c:pt idx="91">
                  <c:v>110.1</c:v>
                </c:pt>
                <c:pt idx="92">
                  <c:v>104</c:v>
                </c:pt>
                <c:pt idx="93">
                  <c:v>108.7</c:v>
                </c:pt>
                <c:pt idx="94">
                  <c:v>105.6</c:v>
                </c:pt>
                <c:pt idx="95">
                  <c:v>110</c:v>
                </c:pt>
                <c:pt idx="96">
                  <c:v>109.1</c:v>
                </c:pt>
                <c:pt idx="97">
                  <c:v>105.9</c:v>
                </c:pt>
                <c:pt idx="98">
                  <c:v>107.9</c:v>
                </c:pt>
                <c:pt idx="99">
                  <c:v>111.8</c:v>
                </c:pt>
                <c:pt idx="100">
                  <c:v>109.5</c:v>
                </c:pt>
                <c:pt idx="101">
                  <c:v>111.1</c:v>
                </c:pt>
                <c:pt idx="102">
                  <c:v>106.9</c:v>
                </c:pt>
                <c:pt idx="103">
                  <c:v>111.1</c:v>
                </c:pt>
                <c:pt idx="104">
                  <c:v>102.6</c:v>
                </c:pt>
                <c:pt idx="105">
                  <c:v>105</c:v>
                </c:pt>
                <c:pt idx="106">
                  <c:v>108.5</c:v>
                </c:pt>
                <c:pt idx="107">
                  <c:v>106</c:v>
                </c:pt>
                <c:pt idx="108">
                  <c:v>105</c:v>
                </c:pt>
                <c:pt idx="109">
                  <c:v>105.8</c:v>
                </c:pt>
                <c:pt idx="110">
                  <c:v>104.5</c:v>
                </c:pt>
                <c:pt idx="111">
                  <c:v>102.1</c:v>
                </c:pt>
                <c:pt idx="112">
                  <c:v>100</c:v>
                </c:pt>
                <c:pt idx="113">
                  <c:v>104.3</c:v>
                </c:pt>
                <c:pt idx="114">
                  <c:v>108.2</c:v>
                </c:pt>
                <c:pt idx="115">
                  <c:v>103.6</c:v>
                </c:pt>
                <c:pt idx="116">
                  <c:v>102</c:v>
                </c:pt>
                <c:pt idx="117">
                  <c:v>104.1</c:v>
                </c:pt>
                <c:pt idx="118">
                  <c:v>104.7</c:v>
                </c:pt>
                <c:pt idx="119">
                  <c:v>101.8</c:v>
                </c:pt>
                <c:pt idx="120">
                  <c:v>99.3</c:v>
                </c:pt>
                <c:pt idx="121">
                  <c:v>98.7</c:v>
                </c:pt>
                <c:pt idx="122">
                  <c:v>101.3</c:v>
                </c:pt>
                <c:pt idx="123">
                  <c:v>102.4</c:v>
                </c:pt>
                <c:pt idx="124">
                  <c:v>99.1</c:v>
                </c:pt>
                <c:pt idx="125">
                  <c:v>100.8</c:v>
                </c:pt>
                <c:pt idx="126">
                  <c:v>101.9</c:v>
                </c:pt>
                <c:pt idx="127">
                  <c:v>103.2</c:v>
                </c:pt>
                <c:pt idx="128">
                  <c:v>98.8</c:v>
                </c:pt>
                <c:pt idx="129">
                  <c:v>101.9</c:v>
                </c:pt>
                <c:pt idx="130">
                  <c:v>100.3</c:v>
                </c:pt>
                <c:pt idx="131">
                  <c:v>102.5</c:v>
                </c:pt>
                <c:pt idx="132">
                  <c:v>99.1</c:v>
                </c:pt>
                <c:pt idx="133">
                  <c:v>102.7</c:v>
                </c:pt>
                <c:pt idx="134">
                  <c:v>99</c:v>
                </c:pt>
                <c:pt idx="135">
                  <c:v>99.3</c:v>
                </c:pt>
                <c:pt idx="136">
                  <c:v>100.7</c:v>
                </c:pt>
                <c:pt idx="137">
                  <c:v>101.7</c:v>
                </c:pt>
                <c:pt idx="138">
                  <c:v>98</c:v>
                </c:pt>
                <c:pt idx="139">
                  <c:v>97.6</c:v>
                </c:pt>
                <c:pt idx="140">
                  <c:v>94.6</c:v>
                </c:pt>
                <c:pt idx="141">
                  <c:v>98.4</c:v>
                </c:pt>
                <c:pt idx="142">
                  <c:v>101.2</c:v>
                </c:pt>
                <c:pt idx="143">
                  <c:v>94.8</c:v>
                </c:pt>
                <c:pt idx="144">
                  <c:v>93.8</c:v>
                </c:pt>
                <c:pt idx="145">
                  <c:v>101.7</c:v>
                </c:pt>
                <c:pt idx="146">
                  <c:v>100.3</c:v>
                </c:pt>
                <c:pt idx="147">
                  <c:v>100.2</c:v>
                </c:pt>
                <c:pt idx="148">
                  <c:v>94</c:v>
                </c:pt>
                <c:pt idx="149">
                  <c:v>98.7</c:v>
                </c:pt>
                <c:pt idx="150">
                  <c:v>95.7</c:v>
                </c:pt>
                <c:pt idx="151">
                  <c:v>100.6</c:v>
                </c:pt>
                <c:pt idx="152">
                  <c:v>99</c:v>
                </c:pt>
                <c:pt idx="153">
                  <c:v>96.5</c:v>
                </c:pt>
                <c:pt idx="154">
                  <c:v>98.1</c:v>
                </c:pt>
                <c:pt idx="155">
                  <c:v>97.8</c:v>
                </c:pt>
                <c:pt idx="156">
                  <c:v>93.1</c:v>
                </c:pt>
                <c:pt idx="157">
                  <c:v>97.9</c:v>
                </c:pt>
                <c:pt idx="158">
                  <c:v>93.2</c:v>
                </c:pt>
                <c:pt idx="159">
                  <c:v>98.8</c:v>
                </c:pt>
                <c:pt idx="160">
                  <c:v>92.2</c:v>
                </c:pt>
                <c:pt idx="161">
                  <c:v>98.8</c:v>
                </c:pt>
                <c:pt idx="162">
                  <c:v>96.7</c:v>
                </c:pt>
                <c:pt idx="163">
                  <c:v>95.8</c:v>
                </c:pt>
                <c:pt idx="164">
                  <c:v>97.5</c:v>
                </c:pt>
                <c:pt idx="165">
                  <c:v>99.9</c:v>
                </c:pt>
                <c:pt idx="166">
                  <c:v>93.7</c:v>
                </c:pt>
                <c:pt idx="167">
                  <c:v>100.1</c:v>
                </c:pt>
                <c:pt idx="168">
                  <c:v>100.3</c:v>
                </c:pt>
                <c:pt idx="169">
                  <c:v>97.5</c:v>
                </c:pt>
                <c:pt idx="170">
                  <c:v>100.4</c:v>
                </c:pt>
                <c:pt idx="171">
                  <c:v>94.9</c:v>
                </c:pt>
                <c:pt idx="172">
                  <c:v>102.1</c:v>
                </c:pt>
                <c:pt idx="173">
                  <c:v>93.9</c:v>
                </c:pt>
                <c:pt idx="174">
                  <c:v>98</c:v>
                </c:pt>
                <c:pt idx="175">
                  <c:v>98</c:v>
                </c:pt>
                <c:pt idx="176">
                  <c:v>98.4</c:v>
                </c:pt>
                <c:pt idx="177">
                  <c:v>96.3</c:v>
                </c:pt>
                <c:pt idx="178">
                  <c:v>103</c:v>
                </c:pt>
                <c:pt idx="179">
                  <c:v>102.4</c:v>
                </c:pt>
                <c:pt idx="180">
                  <c:v>97</c:v>
                </c:pt>
                <c:pt idx="181">
                  <c:v>100.1</c:v>
                </c:pt>
                <c:pt idx="182">
                  <c:v>96.2</c:v>
                </c:pt>
                <c:pt idx="183">
                  <c:v>95.2</c:v>
                </c:pt>
                <c:pt idx="184">
                  <c:v>102.1</c:v>
                </c:pt>
                <c:pt idx="185">
                  <c:v>104.8</c:v>
                </c:pt>
                <c:pt idx="186">
                  <c:v>99</c:v>
                </c:pt>
                <c:pt idx="187">
                  <c:v>98.7</c:v>
                </c:pt>
                <c:pt idx="188">
                  <c:v>105.1</c:v>
                </c:pt>
                <c:pt idx="189">
                  <c:v>98.9</c:v>
                </c:pt>
                <c:pt idx="190">
                  <c:v>102.9</c:v>
                </c:pt>
                <c:pt idx="191">
                  <c:v>99.1</c:v>
                </c:pt>
                <c:pt idx="192">
                  <c:v>101.1</c:v>
                </c:pt>
                <c:pt idx="193">
                  <c:v>101.2</c:v>
                </c:pt>
                <c:pt idx="194">
                  <c:v>105.1</c:v>
                </c:pt>
                <c:pt idx="195">
                  <c:v>104.6</c:v>
                </c:pt>
                <c:pt idx="196">
                  <c:v>102.7</c:v>
                </c:pt>
                <c:pt idx="197">
                  <c:v>107.9</c:v>
                </c:pt>
                <c:pt idx="198">
                  <c:v>101.1</c:v>
                </c:pt>
                <c:pt idx="199">
                  <c:v>99.2</c:v>
                </c:pt>
                <c:pt idx="200">
                  <c:v>105.7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5E-476E-B6EB-739D274B1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53968"/>
        <c:axId val="1201754448"/>
      </c:scatterChart>
      <c:valAx>
        <c:axId val="120175396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4448"/>
        <c:crosses val="autoZero"/>
        <c:crossBetween val="midCat"/>
      </c:valAx>
      <c:valAx>
        <c:axId val="1201754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glucose concentration </a:t>
                </a:r>
                <a:r>
                  <a:rPr lang="en-SG" sz="10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(mg/dl)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3968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[1]adult_007_20251017_102741!$H$4</c:f>
              <c:strCache>
                <c:ptCount val="1"/>
                <c:pt idx="0">
                  <c:v>insulin</c:v>
                </c:pt>
              </c:strCache>
            </c:strRef>
          </c:tx>
          <c:spPr>
            <a:ln>
              <a:solidFill>
                <a:srgbClr val="C61685"/>
              </a:solidFill>
            </a:ln>
          </c:spPr>
          <c:marker>
            <c:symbol val="none"/>
          </c:marker>
          <c:xVal>
            <c:numRef>
              <c:f>[1]adult_007_20251017_102741!$D$5:$D$254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[1]adult_007_20251017_102741!$H$5:$H$254</c:f>
              <c:numCache>
                <c:formatCode>General</c:formatCode>
                <c:ptCount val="250"/>
                <c:pt idx="0">
                  <c:v>2.0799999999999999E-2</c:v>
                </c:pt>
                <c:pt idx="1">
                  <c:v>2.0799999999999999E-2</c:v>
                </c:pt>
                <c:pt idx="2">
                  <c:v>2.0799999999999999E-2</c:v>
                </c:pt>
                <c:pt idx="3">
                  <c:v>2.0799999999999999E-2</c:v>
                </c:pt>
                <c:pt idx="4">
                  <c:v>2.0799999999999999E-2</c:v>
                </c:pt>
                <c:pt idx="5">
                  <c:v>2.0799999999999999E-2</c:v>
                </c:pt>
                <c:pt idx="6">
                  <c:v>2.0799999999999999E-2</c:v>
                </c:pt>
                <c:pt idx="7">
                  <c:v>2.0799999999999999E-2</c:v>
                </c:pt>
                <c:pt idx="8">
                  <c:v>2.0799999999999999E-2</c:v>
                </c:pt>
                <c:pt idx="9">
                  <c:v>2.0799999999999999E-2</c:v>
                </c:pt>
                <c:pt idx="10">
                  <c:v>2.0799999999999999E-2</c:v>
                </c:pt>
                <c:pt idx="11">
                  <c:v>2.0799999999999999E-2</c:v>
                </c:pt>
                <c:pt idx="12">
                  <c:v>2.0799999999999999E-2</c:v>
                </c:pt>
                <c:pt idx="13">
                  <c:v>2.0799999999999999E-2</c:v>
                </c:pt>
                <c:pt idx="14">
                  <c:v>2.0799999999999999E-2</c:v>
                </c:pt>
                <c:pt idx="15">
                  <c:v>2.0799999999999999E-2</c:v>
                </c:pt>
                <c:pt idx="16">
                  <c:v>2.0799999999999999E-2</c:v>
                </c:pt>
                <c:pt idx="17">
                  <c:v>2.0799999999999999E-2</c:v>
                </c:pt>
                <c:pt idx="18">
                  <c:v>2.0799999999999999E-2</c:v>
                </c:pt>
                <c:pt idx="19">
                  <c:v>2.0799999999999999E-2</c:v>
                </c:pt>
                <c:pt idx="20">
                  <c:v>2.0799999999999999E-2</c:v>
                </c:pt>
                <c:pt idx="21">
                  <c:v>2.0799999999999999E-2</c:v>
                </c:pt>
                <c:pt idx="22">
                  <c:v>2.0799999999999999E-2</c:v>
                </c:pt>
                <c:pt idx="23">
                  <c:v>2.0799999999999999E-2</c:v>
                </c:pt>
                <c:pt idx="24">
                  <c:v>2.0799999999999999E-2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4.4999999999999998E-2</c:v>
                </c:pt>
                <c:pt idx="49">
                  <c:v>4.4999999999999998E-2</c:v>
                </c:pt>
                <c:pt idx="50">
                  <c:v>4.4999999999999998E-2</c:v>
                </c:pt>
                <c:pt idx="51">
                  <c:v>4.4999999999999998E-2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2.0799999999999999E-2</c:v>
                </c:pt>
                <c:pt idx="71">
                  <c:v>2.0799999999999999E-2</c:v>
                </c:pt>
                <c:pt idx="72">
                  <c:v>2.0799999999999999E-2</c:v>
                </c:pt>
                <c:pt idx="73">
                  <c:v>2.0799999999999999E-2</c:v>
                </c:pt>
                <c:pt idx="74">
                  <c:v>2.0799999999999999E-2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2.0799999999999999E-2</c:v>
                </c:pt>
                <c:pt idx="81">
                  <c:v>2.0799999999999999E-2</c:v>
                </c:pt>
                <c:pt idx="82">
                  <c:v>2.0799999999999999E-2</c:v>
                </c:pt>
                <c:pt idx="83">
                  <c:v>2.0799999999999999E-2</c:v>
                </c:pt>
                <c:pt idx="84">
                  <c:v>2.0799999999999999E-2</c:v>
                </c:pt>
                <c:pt idx="85">
                  <c:v>2.0799999999999999E-2</c:v>
                </c:pt>
                <c:pt idx="86">
                  <c:v>2.0799999999999999E-2</c:v>
                </c:pt>
                <c:pt idx="87">
                  <c:v>2.0799999999999999E-2</c:v>
                </c:pt>
                <c:pt idx="88">
                  <c:v>2.0799999999999999E-2</c:v>
                </c:pt>
                <c:pt idx="89">
                  <c:v>2.0799999999999999E-2</c:v>
                </c:pt>
                <c:pt idx="90">
                  <c:v>2.0799999999999999E-2</c:v>
                </c:pt>
                <c:pt idx="91">
                  <c:v>2.0799999999999999E-2</c:v>
                </c:pt>
                <c:pt idx="92">
                  <c:v>2.0799999999999999E-2</c:v>
                </c:pt>
                <c:pt idx="93">
                  <c:v>2.0799999999999999E-2</c:v>
                </c:pt>
                <c:pt idx="94">
                  <c:v>2.0799999999999999E-2</c:v>
                </c:pt>
                <c:pt idx="95">
                  <c:v>2.0799999999999999E-2</c:v>
                </c:pt>
                <c:pt idx="96">
                  <c:v>2.0799999999999999E-2</c:v>
                </c:pt>
                <c:pt idx="97">
                  <c:v>2.0799999999999999E-2</c:v>
                </c:pt>
                <c:pt idx="98">
                  <c:v>2.0799999999999999E-2</c:v>
                </c:pt>
                <c:pt idx="99">
                  <c:v>2.0799999999999999E-2</c:v>
                </c:pt>
                <c:pt idx="100">
                  <c:v>4.4999999999999998E-2</c:v>
                </c:pt>
                <c:pt idx="101">
                  <c:v>4.4999999999999998E-2</c:v>
                </c:pt>
                <c:pt idx="102">
                  <c:v>4.4999999999999998E-2</c:v>
                </c:pt>
                <c:pt idx="103">
                  <c:v>4.4999999999999998E-2</c:v>
                </c:pt>
                <c:pt idx="104">
                  <c:v>4.4999999999999998E-2</c:v>
                </c:pt>
                <c:pt idx="105">
                  <c:v>4.4999999999999998E-2</c:v>
                </c:pt>
                <c:pt idx="106">
                  <c:v>4.4999999999999998E-2</c:v>
                </c:pt>
                <c:pt idx="107">
                  <c:v>4.4999999999999998E-2</c:v>
                </c:pt>
                <c:pt idx="108">
                  <c:v>4.4999999999999998E-2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4.4999999999999998E-2</c:v>
                </c:pt>
                <c:pt idx="112">
                  <c:v>4.4999999999999998E-2</c:v>
                </c:pt>
                <c:pt idx="113">
                  <c:v>4.4999999999999998E-2</c:v>
                </c:pt>
                <c:pt idx="114">
                  <c:v>4.4999999999999998E-2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2.0799999999999999E-2</c:v>
                </c:pt>
                <c:pt idx="151">
                  <c:v>2.0799999999999999E-2</c:v>
                </c:pt>
                <c:pt idx="152">
                  <c:v>2.0799999999999999E-2</c:v>
                </c:pt>
                <c:pt idx="153">
                  <c:v>2.0799999999999999E-2</c:v>
                </c:pt>
                <c:pt idx="154">
                  <c:v>2.0799999999999999E-2</c:v>
                </c:pt>
                <c:pt idx="155">
                  <c:v>2.0799999999999999E-2</c:v>
                </c:pt>
                <c:pt idx="156">
                  <c:v>2.0799999999999999E-2</c:v>
                </c:pt>
                <c:pt idx="157">
                  <c:v>2.0799999999999999E-2</c:v>
                </c:pt>
                <c:pt idx="158">
                  <c:v>2.0799999999999999E-2</c:v>
                </c:pt>
                <c:pt idx="159">
                  <c:v>2.0799999999999999E-2</c:v>
                </c:pt>
                <c:pt idx="160">
                  <c:v>2.0799999999999999E-2</c:v>
                </c:pt>
                <c:pt idx="161">
                  <c:v>2.0799999999999999E-2</c:v>
                </c:pt>
                <c:pt idx="162">
                  <c:v>2.0799999999999999E-2</c:v>
                </c:pt>
                <c:pt idx="163">
                  <c:v>2.0799999999999999E-2</c:v>
                </c:pt>
                <c:pt idx="164">
                  <c:v>2.0799999999999999E-2</c:v>
                </c:pt>
                <c:pt idx="165">
                  <c:v>2.0799999999999999E-2</c:v>
                </c:pt>
                <c:pt idx="166">
                  <c:v>2.0799999999999999E-2</c:v>
                </c:pt>
                <c:pt idx="167">
                  <c:v>2.0799999999999999E-2</c:v>
                </c:pt>
                <c:pt idx="168">
                  <c:v>2.0799999999999999E-2</c:v>
                </c:pt>
                <c:pt idx="169">
                  <c:v>2.0799999999999999E-2</c:v>
                </c:pt>
                <c:pt idx="170">
                  <c:v>2.0799999999999999E-2</c:v>
                </c:pt>
                <c:pt idx="171">
                  <c:v>2.0799999999999999E-2</c:v>
                </c:pt>
                <c:pt idx="172">
                  <c:v>2.0799999999999999E-2</c:v>
                </c:pt>
                <c:pt idx="173">
                  <c:v>2.0799999999999999E-2</c:v>
                </c:pt>
                <c:pt idx="174">
                  <c:v>2.0799999999999999E-2</c:v>
                </c:pt>
                <c:pt idx="175">
                  <c:v>2.0799999999999999E-2</c:v>
                </c:pt>
                <c:pt idx="176">
                  <c:v>2.0799999999999999E-2</c:v>
                </c:pt>
                <c:pt idx="177">
                  <c:v>2.0799999999999999E-2</c:v>
                </c:pt>
                <c:pt idx="178">
                  <c:v>2.0799999999999999E-2</c:v>
                </c:pt>
                <c:pt idx="179">
                  <c:v>2.0799999999999999E-2</c:v>
                </c:pt>
                <c:pt idx="180">
                  <c:v>4.4999999999999998E-2</c:v>
                </c:pt>
                <c:pt idx="181">
                  <c:v>4.4999999999999998E-2</c:v>
                </c:pt>
                <c:pt idx="182">
                  <c:v>4.4999999999999998E-2</c:v>
                </c:pt>
                <c:pt idx="183">
                  <c:v>4.4999999999999998E-2</c:v>
                </c:pt>
                <c:pt idx="184">
                  <c:v>4.4999999999999998E-2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4.4999999999999998E-2</c:v>
                </c:pt>
                <c:pt idx="191">
                  <c:v>4.4999999999999998E-2</c:v>
                </c:pt>
                <c:pt idx="192">
                  <c:v>4.4999999999999998E-2</c:v>
                </c:pt>
                <c:pt idx="193">
                  <c:v>4.4999999999999998E-2</c:v>
                </c:pt>
                <c:pt idx="194">
                  <c:v>4.4999999999999998E-2</c:v>
                </c:pt>
                <c:pt idx="195">
                  <c:v>2.0799999999999999E-2</c:v>
                </c:pt>
                <c:pt idx="196">
                  <c:v>2.0799999999999999E-2</c:v>
                </c:pt>
                <c:pt idx="197">
                  <c:v>2.0799999999999999E-2</c:v>
                </c:pt>
                <c:pt idx="198">
                  <c:v>2.0799999999999999E-2</c:v>
                </c:pt>
                <c:pt idx="199">
                  <c:v>2.0799999999999999E-2</c:v>
                </c:pt>
                <c:pt idx="200">
                  <c:v>2.0799999999999999E-2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E3-4909-9814-0550107F0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53968"/>
        <c:axId val="1201754448"/>
      </c:scatterChart>
      <c:valAx>
        <c:axId val="120175396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4448"/>
        <c:crosses val="autoZero"/>
        <c:crossBetween val="midCat"/>
      </c:valAx>
      <c:valAx>
        <c:axId val="12017544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Insulin </a:t>
                </a:r>
                <a:r>
                  <a:rPr lang="en-SG" sz="10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(unit)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3968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[1]adult_007_20251016_171748!$E$4</c:f>
              <c:strCache>
                <c:ptCount val="1"/>
                <c:pt idx="0">
                  <c:v>CGM_reading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[1]adult_007_20251016_171748!$D$5:$D$254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xVal>
          <c:yVal>
            <c:numRef>
              <c:f>[1]adult_007_20251016_171748!$E$5:$E$254</c:f>
              <c:numCache>
                <c:formatCode>General</c:formatCode>
                <c:ptCount val="250"/>
                <c:pt idx="0">
                  <c:v>124.2</c:v>
                </c:pt>
                <c:pt idx="1">
                  <c:v>124</c:v>
                </c:pt>
                <c:pt idx="2">
                  <c:v>124.2</c:v>
                </c:pt>
                <c:pt idx="3">
                  <c:v>124</c:v>
                </c:pt>
                <c:pt idx="4">
                  <c:v>124.2</c:v>
                </c:pt>
                <c:pt idx="5">
                  <c:v>124</c:v>
                </c:pt>
                <c:pt idx="6">
                  <c:v>123.8</c:v>
                </c:pt>
                <c:pt idx="7">
                  <c:v>124.4</c:v>
                </c:pt>
                <c:pt idx="8">
                  <c:v>125.1</c:v>
                </c:pt>
                <c:pt idx="9">
                  <c:v>127.1</c:v>
                </c:pt>
                <c:pt idx="10">
                  <c:v>127.1</c:v>
                </c:pt>
                <c:pt idx="11">
                  <c:v>125.5</c:v>
                </c:pt>
                <c:pt idx="12">
                  <c:v>123.7</c:v>
                </c:pt>
                <c:pt idx="13">
                  <c:v>123.1</c:v>
                </c:pt>
                <c:pt idx="14">
                  <c:v>124.7</c:v>
                </c:pt>
                <c:pt idx="15">
                  <c:v>125.3</c:v>
                </c:pt>
                <c:pt idx="16">
                  <c:v>123.8</c:v>
                </c:pt>
                <c:pt idx="17">
                  <c:v>123.8</c:v>
                </c:pt>
                <c:pt idx="18">
                  <c:v>126.4</c:v>
                </c:pt>
                <c:pt idx="19">
                  <c:v>126.5</c:v>
                </c:pt>
                <c:pt idx="20">
                  <c:v>128.5</c:v>
                </c:pt>
                <c:pt idx="21">
                  <c:v>130.5</c:v>
                </c:pt>
                <c:pt idx="22">
                  <c:v>132.5</c:v>
                </c:pt>
                <c:pt idx="23">
                  <c:v>134.5</c:v>
                </c:pt>
                <c:pt idx="24">
                  <c:v>136.4</c:v>
                </c:pt>
                <c:pt idx="25">
                  <c:v>138.4</c:v>
                </c:pt>
                <c:pt idx="26">
                  <c:v>140.6</c:v>
                </c:pt>
                <c:pt idx="27">
                  <c:v>142.6</c:v>
                </c:pt>
                <c:pt idx="28">
                  <c:v>144.5</c:v>
                </c:pt>
                <c:pt idx="29">
                  <c:v>146.5</c:v>
                </c:pt>
                <c:pt idx="30">
                  <c:v>148.5</c:v>
                </c:pt>
                <c:pt idx="31">
                  <c:v>150.5</c:v>
                </c:pt>
                <c:pt idx="32">
                  <c:v>152.5</c:v>
                </c:pt>
                <c:pt idx="33">
                  <c:v>154.4</c:v>
                </c:pt>
                <c:pt idx="34">
                  <c:v>156.4</c:v>
                </c:pt>
                <c:pt idx="35">
                  <c:v>158.6</c:v>
                </c:pt>
                <c:pt idx="36">
                  <c:v>160.6</c:v>
                </c:pt>
                <c:pt idx="37">
                  <c:v>162.5</c:v>
                </c:pt>
                <c:pt idx="38">
                  <c:v>164.5</c:v>
                </c:pt>
                <c:pt idx="39">
                  <c:v>166.5</c:v>
                </c:pt>
                <c:pt idx="40">
                  <c:v>168.5</c:v>
                </c:pt>
                <c:pt idx="41">
                  <c:v>170.5</c:v>
                </c:pt>
                <c:pt idx="42">
                  <c:v>172.4</c:v>
                </c:pt>
                <c:pt idx="43">
                  <c:v>174.4</c:v>
                </c:pt>
                <c:pt idx="44">
                  <c:v>120.6</c:v>
                </c:pt>
                <c:pt idx="45">
                  <c:v>180.5</c:v>
                </c:pt>
                <c:pt idx="46">
                  <c:v>182.5</c:v>
                </c:pt>
                <c:pt idx="47">
                  <c:v>184.5</c:v>
                </c:pt>
                <c:pt idx="48">
                  <c:v>186.5</c:v>
                </c:pt>
                <c:pt idx="49">
                  <c:v>188.5</c:v>
                </c:pt>
                <c:pt idx="50">
                  <c:v>190.4</c:v>
                </c:pt>
                <c:pt idx="51">
                  <c:v>192.4</c:v>
                </c:pt>
                <c:pt idx="52">
                  <c:v>194.6</c:v>
                </c:pt>
                <c:pt idx="53">
                  <c:v>196.6</c:v>
                </c:pt>
                <c:pt idx="54">
                  <c:v>198.5</c:v>
                </c:pt>
                <c:pt idx="55">
                  <c:v>200.5</c:v>
                </c:pt>
                <c:pt idx="56">
                  <c:v>202.5</c:v>
                </c:pt>
                <c:pt idx="57">
                  <c:v>204.5</c:v>
                </c:pt>
                <c:pt idx="58">
                  <c:v>206.5</c:v>
                </c:pt>
                <c:pt idx="59">
                  <c:v>208.4</c:v>
                </c:pt>
                <c:pt idx="60">
                  <c:v>210.4</c:v>
                </c:pt>
                <c:pt idx="61">
                  <c:v>212.6</c:v>
                </c:pt>
                <c:pt idx="62">
                  <c:v>214.6</c:v>
                </c:pt>
                <c:pt idx="63">
                  <c:v>216.5</c:v>
                </c:pt>
                <c:pt idx="64">
                  <c:v>218.5</c:v>
                </c:pt>
                <c:pt idx="65">
                  <c:v>220.5</c:v>
                </c:pt>
                <c:pt idx="66">
                  <c:v>222.5</c:v>
                </c:pt>
                <c:pt idx="67">
                  <c:v>224.5</c:v>
                </c:pt>
                <c:pt idx="68">
                  <c:v>226.4</c:v>
                </c:pt>
                <c:pt idx="69">
                  <c:v>228.4</c:v>
                </c:pt>
                <c:pt idx="70">
                  <c:v>230.6</c:v>
                </c:pt>
                <c:pt idx="71">
                  <c:v>232.6</c:v>
                </c:pt>
                <c:pt idx="72">
                  <c:v>234.5</c:v>
                </c:pt>
                <c:pt idx="73">
                  <c:v>236.5</c:v>
                </c:pt>
                <c:pt idx="74">
                  <c:v>238.5</c:v>
                </c:pt>
                <c:pt idx="75">
                  <c:v>240.5</c:v>
                </c:pt>
                <c:pt idx="76">
                  <c:v>242.5</c:v>
                </c:pt>
                <c:pt idx="77">
                  <c:v>125.6</c:v>
                </c:pt>
                <c:pt idx="78">
                  <c:v>248.6</c:v>
                </c:pt>
                <c:pt idx="79">
                  <c:v>250.6</c:v>
                </c:pt>
                <c:pt idx="80">
                  <c:v>252.5</c:v>
                </c:pt>
                <c:pt idx="81">
                  <c:v>254.5</c:v>
                </c:pt>
                <c:pt idx="82">
                  <c:v>256.5</c:v>
                </c:pt>
                <c:pt idx="83">
                  <c:v>258.5</c:v>
                </c:pt>
                <c:pt idx="84">
                  <c:v>260.5</c:v>
                </c:pt>
                <c:pt idx="85">
                  <c:v>262.39999999999998</c:v>
                </c:pt>
                <c:pt idx="86">
                  <c:v>264.39999999999998</c:v>
                </c:pt>
                <c:pt idx="87">
                  <c:v>122.8</c:v>
                </c:pt>
                <c:pt idx="88">
                  <c:v>268.60000000000002</c:v>
                </c:pt>
                <c:pt idx="89">
                  <c:v>270.5</c:v>
                </c:pt>
                <c:pt idx="90">
                  <c:v>272.5</c:v>
                </c:pt>
                <c:pt idx="91">
                  <c:v>274.5</c:v>
                </c:pt>
                <c:pt idx="92">
                  <c:v>276.5</c:v>
                </c:pt>
                <c:pt idx="93">
                  <c:v>278.5</c:v>
                </c:pt>
                <c:pt idx="94">
                  <c:v>280.39999999999998</c:v>
                </c:pt>
                <c:pt idx="95">
                  <c:v>282.39999999999998</c:v>
                </c:pt>
                <c:pt idx="96">
                  <c:v>284.60000000000002</c:v>
                </c:pt>
                <c:pt idx="97">
                  <c:v>286.60000000000002</c:v>
                </c:pt>
                <c:pt idx="98">
                  <c:v>288.5</c:v>
                </c:pt>
                <c:pt idx="99">
                  <c:v>290.5</c:v>
                </c:pt>
                <c:pt idx="100">
                  <c:v>292.5</c:v>
                </c:pt>
                <c:pt idx="101">
                  <c:v>294.5</c:v>
                </c:pt>
                <c:pt idx="102">
                  <c:v>296.5</c:v>
                </c:pt>
                <c:pt idx="103">
                  <c:v>298.39999999999998</c:v>
                </c:pt>
                <c:pt idx="104">
                  <c:v>300.10000000000002</c:v>
                </c:pt>
                <c:pt idx="105">
                  <c:v>300.10000000000002</c:v>
                </c:pt>
                <c:pt idx="106">
                  <c:v>300.10000000000002</c:v>
                </c:pt>
                <c:pt idx="107">
                  <c:v>298.10000000000002</c:v>
                </c:pt>
                <c:pt idx="108">
                  <c:v>295.89999999999998</c:v>
                </c:pt>
                <c:pt idx="109">
                  <c:v>295.89999999999998</c:v>
                </c:pt>
                <c:pt idx="110">
                  <c:v>295.89999999999998</c:v>
                </c:pt>
                <c:pt idx="111">
                  <c:v>295.89999999999998</c:v>
                </c:pt>
                <c:pt idx="112">
                  <c:v>295.89999999999998</c:v>
                </c:pt>
                <c:pt idx="113">
                  <c:v>295.89999999999998</c:v>
                </c:pt>
                <c:pt idx="114">
                  <c:v>295.89999999999998</c:v>
                </c:pt>
                <c:pt idx="115">
                  <c:v>295.89999999999998</c:v>
                </c:pt>
                <c:pt idx="116">
                  <c:v>295.89999999999998</c:v>
                </c:pt>
                <c:pt idx="117">
                  <c:v>295.89999999999998</c:v>
                </c:pt>
                <c:pt idx="118">
                  <c:v>295.89999999999998</c:v>
                </c:pt>
                <c:pt idx="119">
                  <c:v>295.89999999999998</c:v>
                </c:pt>
                <c:pt idx="120">
                  <c:v>295.89999999999998</c:v>
                </c:pt>
                <c:pt idx="121">
                  <c:v>295.89999999999998</c:v>
                </c:pt>
                <c:pt idx="122">
                  <c:v>295.89999999999998</c:v>
                </c:pt>
                <c:pt idx="123">
                  <c:v>295.89999999999998</c:v>
                </c:pt>
                <c:pt idx="124">
                  <c:v>295.89999999999998</c:v>
                </c:pt>
                <c:pt idx="125">
                  <c:v>295.89999999999998</c:v>
                </c:pt>
                <c:pt idx="126">
                  <c:v>295.89999999999998</c:v>
                </c:pt>
                <c:pt idx="127">
                  <c:v>295.89999999999998</c:v>
                </c:pt>
                <c:pt idx="128">
                  <c:v>295.89999999999998</c:v>
                </c:pt>
                <c:pt idx="129">
                  <c:v>295.89999999999998</c:v>
                </c:pt>
                <c:pt idx="130">
                  <c:v>295.89999999999998</c:v>
                </c:pt>
                <c:pt idx="131">
                  <c:v>295.89999999999998</c:v>
                </c:pt>
                <c:pt idx="132">
                  <c:v>295.89999999999998</c:v>
                </c:pt>
                <c:pt idx="133">
                  <c:v>295.89999999999998</c:v>
                </c:pt>
                <c:pt idx="134">
                  <c:v>295.89999999999998</c:v>
                </c:pt>
                <c:pt idx="135">
                  <c:v>295.89999999999998</c:v>
                </c:pt>
                <c:pt idx="136">
                  <c:v>295.89999999999998</c:v>
                </c:pt>
                <c:pt idx="137">
                  <c:v>295.89999999999998</c:v>
                </c:pt>
                <c:pt idx="138">
                  <c:v>295.89999999999998</c:v>
                </c:pt>
                <c:pt idx="139">
                  <c:v>295.89999999999998</c:v>
                </c:pt>
                <c:pt idx="140">
                  <c:v>295.89999999999998</c:v>
                </c:pt>
                <c:pt idx="141">
                  <c:v>295.89999999999998</c:v>
                </c:pt>
                <c:pt idx="142">
                  <c:v>295.89999999999998</c:v>
                </c:pt>
                <c:pt idx="143">
                  <c:v>295.89999999999998</c:v>
                </c:pt>
                <c:pt idx="144">
                  <c:v>295.89999999999998</c:v>
                </c:pt>
                <c:pt idx="145">
                  <c:v>295.89999999999998</c:v>
                </c:pt>
                <c:pt idx="146">
                  <c:v>295.89999999999998</c:v>
                </c:pt>
                <c:pt idx="147">
                  <c:v>295.89999999999998</c:v>
                </c:pt>
                <c:pt idx="148">
                  <c:v>295.89999999999998</c:v>
                </c:pt>
                <c:pt idx="149">
                  <c:v>295.89999999999998</c:v>
                </c:pt>
                <c:pt idx="150">
                  <c:v>295.89999999999998</c:v>
                </c:pt>
                <c:pt idx="151">
                  <c:v>295.89999999999998</c:v>
                </c:pt>
                <c:pt idx="152">
                  <c:v>295.89999999999998</c:v>
                </c:pt>
                <c:pt idx="153">
                  <c:v>295.89999999999998</c:v>
                </c:pt>
                <c:pt idx="154">
                  <c:v>295.89999999999998</c:v>
                </c:pt>
                <c:pt idx="155">
                  <c:v>295.89999999999998</c:v>
                </c:pt>
                <c:pt idx="156">
                  <c:v>295.89999999999998</c:v>
                </c:pt>
                <c:pt idx="157">
                  <c:v>295.89999999999998</c:v>
                </c:pt>
                <c:pt idx="158">
                  <c:v>295.89999999999998</c:v>
                </c:pt>
                <c:pt idx="159">
                  <c:v>295.89999999999998</c:v>
                </c:pt>
                <c:pt idx="160">
                  <c:v>295.89999999999998</c:v>
                </c:pt>
                <c:pt idx="161">
                  <c:v>295.89999999999998</c:v>
                </c:pt>
                <c:pt idx="162">
                  <c:v>295.89999999999998</c:v>
                </c:pt>
                <c:pt idx="163">
                  <c:v>295.89999999999998</c:v>
                </c:pt>
                <c:pt idx="164">
                  <c:v>295.89999999999998</c:v>
                </c:pt>
                <c:pt idx="165">
                  <c:v>295.89999999999998</c:v>
                </c:pt>
                <c:pt idx="166">
                  <c:v>295.89999999999998</c:v>
                </c:pt>
                <c:pt idx="167">
                  <c:v>295.89999999999998</c:v>
                </c:pt>
                <c:pt idx="168">
                  <c:v>295.89999999999998</c:v>
                </c:pt>
                <c:pt idx="169">
                  <c:v>295.89999999999998</c:v>
                </c:pt>
                <c:pt idx="170">
                  <c:v>295.89999999999998</c:v>
                </c:pt>
                <c:pt idx="171">
                  <c:v>295.89999999999998</c:v>
                </c:pt>
                <c:pt idx="172">
                  <c:v>295.89999999999998</c:v>
                </c:pt>
                <c:pt idx="173">
                  <c:v>295.89999999999998</c:v>
                </c:pt>
                <c:pt idx="174">
                  <c:v>295.89999999999998</c:v>
                </c:pt>
                <c:pt idx="175">
                  <c:v>295.89999999999998</c:v>
                </c:pt>
                <c:pt idx="176">
                  <c:v>295.89999999999998</c:v>
                </c:pt>
                <c:pt idx="177">
                  <c:v>295.89999999999998</c:v>
                </c:pt>
                <c:pt idx="178">
                  <c:v>295.89999999999998</c:v>
                </c:pt>
                <c:pt idx="179">
                  <c:v>295.89999999999998</c:v>
                </c:pt>
                <c:pt idx="180">
                  <c:v>295.89999999999998</c:v>
                </c:pt>
                <c:pt idx="181">
                  <c:v>295.89999999999998</c:v>
                </c:pt>
                <c:pt idx="182">
                  <c:v>295.89999999999998</c:v>
                </c:pt>
                <c:pt idx="183">
                  <c:v>295.89999999999998</c:v>
                </c:pt>
                <c:pt idx="184">
                  <c:v>295.89999999999998</c:v>
                </c:pt>
                <c:pt idx="185">
                  <c:v>295.89999999999998</c:v>
                </c:pt>
                <c:pt idx="186">
                  <c:v>295.89999999999998</c:v>
                </c:pt>
                <c:pt idx="187">
                  <c:v>295.89999999999998</c:v>
                </c:pt>
                <c:pt idx="188">
                  <c:v>295.89999999999998</c:v>
                </c:pt>
                <c:pt idx="189">
                  <c:v>295.89999999999998</c:v>
                </c:pt>
                <c:pt idx="190">
                  <c:v>295.89999999999998</c:v>
                </c:pt>
                <c:pt idx="191">
                  <c:v>295.89999999999998</c:v>
                </c:pt>
                <c:pt idx="192">
                  <c:v>295.89999999999998</c:v>
                </c:pt>
                <c:pt idx="193">
                  <c:v>295.89999999999998</c:v>
                </c:pt>
                <c:pt idx="194">
                  <c:v>295.89999999999998</c:v>
                </c:pt>
                <c:pt idx="195">
                  <c:v>295.89999999999998</c:v>
                </c:pt>
                <c:pt idx="196">
                  <c:v>295.89999999999998</c:v>
                </c:pt>
                <c:pt idx="197">
                  <c:v>295.89999999999998</c:v>
                </c:pt>
                <c:pt idx="198">
                  <c:v>295.89999999999998</c:v>
                </c:pt>
                <c:pt idx="199">
                  <c:v>295.89999999999998</c:v>
                </c:pt>
                <c:pt idx="200">
                  <c:v>295.89999999999998</c:v>
                </c:pt>
                <c:pt idx="201">
                  <c:v>295.89999999999998</c:v>
                </c:pt>
                <c:pt idx="202">
                  <c:v>295.89999999999998</c:v>
                </c:pt>
                <c:pt idx="203">
                  <c:v>295.89999999999998</c:v>
                </c:pt>
                <c:pt idx="204">
                  <c:v>295.89999999999998</c:v>
                </c:pt>
                <c:pt idx="205">
                  <c:v>295.89999999999998</c:v>
                </c:pt>
                <c:pt idx="206">
                  <c:v>295.89999999999998</c:v>
                </c:pt>
                <c:pt idx="207">
                  <c:v>295.89999999999998</c:v>
                </c:pt>
                <c:pt idx="208">
                  <c:v>295.89999999999998</c:v>
                </c:pt>
                <c:pt idx="209">
                  <c:v>295.89999999999998</c:v>
                </c:pt>
                <c:pt idx="210">
                  <c:v>295.89999999999998</c:v>
                </c:pt>
                <c:pt idx="211">
                  <c:v>295.89999999999998</c:v>
                </c:pt>
                <c:pt idx="212">
                  <c:v>295.89999999999998</c:v>
                </c:pt>
                <c:pt idx="213">
                  <c:v>295.89999999999998</c:v>
                </c:pt>
                <c:pt idx="214">
                  <c:v>295.89999999999998</c:v>
                </c:pt>
                <c:pt idx="215">
                  <c:v>295.89999999999998</c:v>
                </c:pt>
                <c:pt idx="216">
                  <c:v>295.89999999999998</c:v>
                </c:pt>
                <c:pt idx="217">
                  <c:v>295.89999999999998</c:v>
                </c:pt>
                <c:pt idx="218">
                  <c:v>295.89999999999998</c:v>
                </c:pt>
                <c:pt idx="219">
                  <c:v>295.89999999999998</c:v>
                </c:pt>
                <c:pt idx="220">
                  <c:v>295.89999999999998</c:v>
                </c:pt>
                <c:pt idx="221">
                  <c:v>295.89999999999998</c:v>
                </c:pt>
                <c:pt idx="222">
                  <c:v>295.89999999999998</c:v>
                </c:pt>
                <c:pt idx="223">
                  <c:v>295.89999999999998</c:v>
                </c:pt>
                <c:pt idx="224">
                  <c:v>295.89999999999998</c:v>
                </c:pt>
                <c:pt idx="225">
                  <c:v>295.89999999999998</c:v>
                </c:pt>
                <c:pt idx="226">
                  <c:v>295.89999999999998</c:v>
                </c:pt>
                <c:pt idx="227">
                  <c:v>295.89999999999998</c:v>
                </c:pt>
                <c:pt idx="228">
                  <c:v>295.89999999999998</c:v>
                </c:pt>
                <c:pt idx="229">
                  <c:v>295.89999999999998</c:v>
                </c:pt>
                <c:pt idx="230">
                  <c:v>295.89999999999998</c:v>
                </c:pt>
                <c:pt idx="231">
                  <c:v>295.89999999999998</c:v>
                </c:pt>
                <c:pt idx="232">
                  <c:v>295.89999999999998</c:v>
                </c:pt>
                <c:pt idx="233">
                  <c:v>295.89999999999998</c:v>
                </c:pt>
                <c:pt idx="234">
                  <c:v>295.89999999999998</c:v>
                </c:pt>
                <c:pt idx="235">
                  <c:v>295.89999999999998</c:v>
                </c:pt>
                <c:pt idx="236">
                  <c:v>295.89999999999998</c:v>
                </c:pt>
                <c:pt idx="237">
                  <c:v>295.89999999999998</c:v>
                </c:pt>
                <c:pt idx="238">
                  <c:v>295.89999999999998</c:v>
                </c:pt>
                <c:pt idx="239">
                  <c:v>295.89999999999998</c:v>
                </c:pt>
                <c:pt idx="240">
                  <c:v>295.89999999999998</c:v>
                </c:pt>
                <c:pt idx="241">
                  <c:v>295.89999999999998</c:v>
                </c:pt>
                <c:pt idx="242">
                  <c:v>295.89999999999998</c:v>
                </c:pt>
                <c:pt idx="243">
                  <c:v>295.89999999999998</c:v>
                </c:pt>
                <c:pt idx="244">
                  <c:v>295.89999999999998</c:v>
                </c:pt>
                <c:pt idx="245">
                  <c:v>295.89999999999998</c:v>
                </c:pt>
                <c:pt idx="246">
                  <c:v>295.89999999999998</c:v>
                </c:pt>
                <c:pt idx="247">
                  <c:v>295.89999999999998</c:v>
                </c:pt>
                <c:pt idx="248">
                  <c:v>295.89999999999998</c:v>
                </c:pt>
                <c:pt idx="249">
                  <c:v>295.89999999999998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0-4F1F-9519-C8B7FB4D8E9A}"/>
            </c:ext>
          </c:extLst>
        </c:ser>
        <c:ser>
          <c:idx val="0"/>
          <c:order val="1"/>
          <c:tx>
            <c:strRef>
              <c:f>[1]adult_007_20251016_171748!$F$4</c:f>
              <c:strCache>
                <c:ptCount val="1"/>
                <c:pt idx="0">
                  <c:v>Paitent_glucose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[1]adult_007_20251016_171748!$D$5:$D$254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xVal>
          <c:yVal>
            <c:numRef>
              <c:f>[1]adult_007_20251016_171748!$F$5:$F$254</c:f>
              <c:numCache>
                <c:formatCode>General</c:formatCode>
                <c:ptCount val="250"/>
                <c:pt idx="0">
                  <c:v>113</c:v>
                </c:pt>
                <c:pt idx="1">
                  <c:v>114.9</c:v>
                </c:pt>
                <c:pt idx="2">
                  <c:v>118.2</c:v>
                </c:pt>
                <c:pt idx="3">
                  <c:v>111.2</c:v>
                </c:pt>
                <c:pt idx="4">
                  <c:v>118.8</c:v>
                </c:pt>
                <c:pt idx="5">
                  <c:v>118.8</c:v>
                </c:pt>
                <c:pt idx="6">
                  <c:v>119.6</c:v>
                </c:pt>
                <c:pt idx="7">
                  <c:v>113.6</c:v>
                </c:pt>
                <c:pt idx="8">
                  <c:v>110.6</c:v>
                </c:pt>
                <c:pt idx="9">
                  <c:v>116.4</c:v>
                </c:pt>
                <c:pt idx="10">
                  <c:v>118.6</c:v>
                </c:pt>
                <c:pt idx="11">
                  <c:v>117.9</c:v>
                </c:pt>
                <c:pt idx="12">
                  <c:v>110</c:v>
                </c:pt>
                <c:pt idx="13">
                  <c:v>117.3</c:v>
                </c:pt>
                <c:pt idx="14">
                  <c:v>118.2</c:v>
                </c:pt>
                <c:pt idx="15">
                  <c:v>119.4</c:v>
                </c:pt>
                <c:pt idx="16">
                  <c:v>111.6</c:v>
                </c:pt>
                <c:pt idx="17">
                  <c:v>119.7</c:v>
                </c:pt>
                <c:pt idx="18">
                  <c:v>112.4</c:v>
                </c:pt>
                <c:pt idx="19">
                  <c:v>111.3</c:v>
                </c:pt>
                <c:pt idx="20">
                  <c:v>118.1</c:v>
                </c:pt>
                <c:pt idx="21">
                  <c:v>111.1</c:v>
                </c:pt>
                <c:pt idx="22">
                  <c:v>112.2</c:v>
                </c:pt>
                <c:pt idx="23">
                  <c:v>116.8</c:v>
                </c:pt>
                <c:pt idx="24">
                  <c:v>117.8</c:v>
                </c:pt>
                <c:pt idx="25">
                  <c:v>113</c:v>
                </c:pt>
                <c:pt idx="26">
                  <c:v>115</c:v>
                </c:pt>
                <c:pt idx="27">
                  <c:v>110.3</c:v>
                </c:pt>
                <c:pt idx="28">
                  <c:v>110.2</c:v>
                </c:pt>
                <c:pt idx="29">
                  <c:v>118.6</c:v>
                </c:pt>
                <c:pt idx="30">
                  <c:v>115.4</c:v>
                </c:pt>
                <c:pt idx="31">
                  <c:v>118.8</c:v>
                </c:pt>
                <c:pt idx="32">
                  <c:v>117.2</c:v>
                </c:pt>
                <c:pt idx="33">
                  <c:v>116.4</c:v>
                </c:pt>
                <c:pt idx="34">
                  <c:v>116.5</c:v>
                </c:pt>
                <c:pt idx="35">
                  <c:v>117.9</c:v>
                </c:pt>
                <c:pt idx="36">
                  <c:v>117.1</c:v>
                </c:pt>
                <c:pt idx="37">
                  <c:v>111</c:v>
                </c:pt>
                <c:pt idx="38">
                  <c:v>117.3</c:v>
                </c:pt>
                <c:pt idx="39">
                  <c:v>112.3</c:v>
                </c:pt>
                <c:pt idx="40">
                  <c:v>119</c:v>
                </c:pt>
                <c:pt idx="41">
                  <c:v>110.7</c:v>
                </c:pt>
                <c:pt idx="42">
                  <c:v>116.1</c:v>
                </c:pt>
                <c:pt idx="43">
                  <c:v>119.6</c:v>
                </c:pt>
                <c:pt idx="44">
                  <c:v>114.4</c:v>
                </c:pt>
                <c:pt idx="45">
                  <c:v>112.6</c:v>
                </c:pt>
                <c:pt idx="46">
                  <c:v>115.4</c:v>
                </c:pt>
                <c:pt idx="47">
                  <c:v>118.2</c:v>
                </c:pt>
                <c:pt idx="48">
                  <c:v>119.8</c:v>
                </c:pt>
                <c:pt idx="49">
                  <c:v>116.8</c:v>
                </c:pt>
                <c:pt idx="50">
                  <c:v>113.7</c:v>
                </c:pt>
                <c:pt idx="51">
                  <c:v>116.1</c:v>
                </c:pt>
                <c:pt idx="52">
                  <c:v>119.2</c:v>
                </c:pt>
                <c:pt idx="53">
                  <c:v>115.7</c:v>
                </c:pt>
                <c:pt idx="54">
                  <c:v>114.3</c:v>
                </c:pt>
                <c:pt idx="55">
                  <c:v>117.4</c:v>
                </c:pt>
                <c:pt idx="56">
                  <c:v>110.8</c:v>
                </c:pt>
                <c:pt idx="57">
                  <c:v>117.6</c:v>
                </c:pt>
                <c:pt idx="58">
                  <c:v>114.6</c:v>
                </c:pt>
                <c:pt idx="59">
                  <c:v>115.9</c:v>
                </c:pt>
                <c:pt idx="60">
                  <c:v>110.6</c:v>
                </c:pt>
                <c:pt idx="61">
                  <c:v>118.3</c:v>
                </c:pt>
                <c:pt idx="62">
                  <c:v>114.4</c:v>
                </c:pt>
                <c:pt idx="63">
                  <c:v>118.8</c:v>
                </c:pt>
                <c:pt idx="64">
                  <c:v>113.9</c:v>
                </c:pt>
                <c:pt idx="65">
                  <c:v>114.2</c:v>
                </c:pt>
                <c:pt idx="66">
                  <c:v>109.6</c:v>
                </c:pt>
                <c:pt idx="67">
                  <c:v>112.3</c:v>
                </c:pt>
                <c:pt idx="68">
                  <c:v>109.4</c:v>
                </c:pt>
                <c:pt idx="69">
                  <c:v>114.7</c:v>
                </c:pt>
                <c:pt idx="70">
                  <c:v>114.6</c:v>
                </c:pt>
                <c:pt idx="71">
                  <c:v>117.5</c:v>
                </c:pt>
                <c:pt idx="72">
                  <c:v>117.8</c:v>
                </c:pt>
                <c:pt idx="73">
                  <c:v>117.9</c:v>
                </c:pt>
                <c:pt idx="74">
                  <c:v>108.4</c:v>
                </c:pt>
                <c:pt idx="75">
                  <c:v>117.2</c:v>
                </c:pt>
                <c:pt idx="76">
                  <c:v>112.8</c:v>
                </c:pt>
                <c:pt idx="77">
                  <c:v>109.9</c:v>
                </c:pt>
                <c:pt idx="78">
                  <c:v>110.4</c:v>
                </c:pt>
                <c:pt idx="79">
                  <c:v>111.6</c:v>
                </c:pt>
                <c:pt idx="80">
                  <c:v>113.5</c:v>
                </c:pt>
                <c:pt idx="81">
                  <c:v>116.6</c:v>
                </c:pt>
                <c:pt idx="82">
                  <c:v>106.9</c:v>
                </c:pt>
                <c:pt idx="83">
                  <c:v>113.7</c:v>
                </c:pt>
                <c:pt idx="84">
                  <c:v>112.6</c:v>
                </c:pt>
                <c:pt idx="85">
                  <c:v>110.4</c:v>
                </c:pt>
                <c:pt idx="86">
                  <c:v>111</c:v>
                </c:pt>
                <c:pt idx="87">
                  <c:v>111.5</c:v>
                </c:pt>
                <c:pt idx="88">
                  <c:v>107.3</c:v>
                </c:pt>
                <c:pt idx="89">
                  <c:v>114.5</c:v>
                </c:pt>
                <c:pt idx="90">
                  <c:v>110.7</c:v>
                </c:pt>
                <c:pt idx="91">
                  <c:v>105.7</c:v>
                </c:pt>
                <c:pt idx="92">
                  <c:v>104.8</c:v>
                </c:pt>
                <c:pt idx="93">
                  <c:v>106.2</c:v>
                </c:pt>
                <c:pt idx="94">
                  <c:v>103</c:v>
                </c:pt>
                <c:pt idx="95">
                  <c:v>106.1</c:v>
                </c:pt>
                <c:pt idx="96">
                  <c:v>105.3</c:v>
                </c:pt>
                <c:pt idx="97">
                  <c:v>106.7</c:v>
                </c:pt>
                <c:pt idx="98">
                  <c:v>102.7</c:v>
                </c:pt>
                <c:pt idx="99">
                  <c:v>108.7</c:v>
                </c:pt>
                <c:pt idx="100">
                  <c:v>104.7</c:v>
                </c:pt>
                <c:pt idx="101">
                  <c:v>106.9</c:v>
                </c:pt>
                <c:pt idx="102">
                  <c:v>102</c:v>
                </c:pt>
                <c:pt idx="103">
                  <c:v>108.5</c:v>
                </c:pt>
                <c:pt idx="104">
                  <c:v>107.9</c:v>
                </c:pt>
                <c:pt idx="105">
                  <c:v>99.3</c:v>
                </c:pt>
                <c:pt idx="106">
                  <c:v>105.1</c:v>
                </c:pt>
                <c:pt idx="107">
                  <c:v>99.9</c:v>
                </c:pt>
                <c:pt idx="108">
                  <c:v>100</c:v>
                </c:pt>
                <c:pt idx="109">
                  <c:v>103.7</c:v>
                </c:pt>
                <c:pt idx="110">
                  <c:v>96.5</c:v>
                </c:pt>
                <c:pt idx="111">
                  <c:v>100.9</c:v>
                </c:pt>
                <c:pt idx="112">
                  <c:v>98.5</c:v>
                </c:pt>
                <c:pt idx="113">
                  <c:v>95.3</c:v>
                </c:pt>
                <c:pt idx="114">
                  <c:v>97.9</c:v>
                </c:pt>
                <c:pt idx="115">
                  <c:v>101.4</c:v>
                </c:pt>
                <c:pt idx="116">
                  <c:v>95.1</c:v>
                </c:pt>
                <c:pt idx="117">
                  <c:v>92.6</c:v>
                </c:pt>
                <c:pt idx="118">
                  <c:v>98.5</c:v>
                </c:pt>
                <c:pt idx="119">
                  <c:v>99.1</c:v>
                </c:pt>
                <c:pt idx="120">
                  <c:v>98.5</c:v>
                </c:pt>
                <c:pt idx="121">
                  <c:v>90.9</c:v>
                </c:pt>
                <c:pt idx="122">
                  <c:v>94.7</c:v>
                </c:pt>
                <c:pt idx="123">
                  <c:v>96.4</c:v>
                </c:pt>
                <c:pt idx="124">
                  <c:v>95.6</c:v>
                </c:pt>
                <c:pt idx="125">
                  <c:v>88.6</c:v>
                </c:pt>
                <c:pt idx="126">
                  <c:v>92.6</c:v>
                </c:pt>
                <c:pt idx="127">
                  <c:v>91.1</c:v>
                </c:pt>
                <c:pt idx="128">
                  <c:v>84.8</c:v>
                </c:pt>
                <c:pt idx="129">
                  <c:v>85.8</c:v>
                </c:pt>
                <c:pt idx="130">
                  <c:v>85.9</c:v>
                </c:pt>
                <c:pt idx="131">
                  <c:v>83</c:v>
                </c:pt>
                <c:pt idx="132">
                  <c:v>84.8</c:v>
                </c:pt>
                <c:pt idx="133">
                  <c:v>88.1</c:v>
                </c:pt>
                <c:pt idx="134">
                  <c:v>81.900000000000006</c:v>
                </c:pt>
                <c:pt idx="135">
                  <c:v>82.8</c:v>
                </c:pt>
                <c:pt idx="136">
                  <c:v>84</c:v>
                </c:pt>
                <c:pt idx="137">
                  <c:v>77.400000000000006</c:v>
                </c:pt>
                <c:pt idx="138">
                  <c:v>83.6</c:v>
                </c:pt>
                <c:pt idx="139">
                  <c:v>75.400000000000006</c:v>
                </c:pt>
                <c:pt idx="140">
                  <c:v>76.3</c:v>
                </c:pt>
                <c:pt idx="141">
                  <c:v>73</c:v>
                </c:pt>
                <c:pt idx="142">
                  <c:v>73.2</c:v>
                </c:pt>
                <c:pt idx="143">
                  <c:v>75.7</c:v>
                </c:pt>
                <c:pt idx="144">
                  <c:v>72.599999999999994</c:v>
                </c:pt>
                <c:pt idx="145">
                  <c:v>75.900000000000006</c:v>
                </c:pt>
                <c:pt idx="146">
                  <c:v>68.5</c:v>
                </c:pt>
                <c:pt idx="147">
                  <c:v>71.400000000000006</c:v>
                </c:pt>
                <c:pt idx="148">
                  <c:v>67.8</c:v>
                </c:pt>
                <c:pt idx="149">
                  <c:v>69.2</c:v>
                </c:pt>
                <c:pt idx="150">
                  <c:v>67.599999999999994</c:v>
                </c:pt>
                <c:pt idx="151">
                  <c:v>61</c:v>
                </c:pt>
                <c:pt idx="152">
                  <c:v>63.9</c:v>
                </c:pt>
                <c:pt idx="153">
                  <c:v>63.4</c:v>
                </c:pt>
                <c:pt idx="154">
                  <c:v>63.8</c:v>
                </c:pt>
                <c:pt idx="155">
                  <c:v>60.3</c:v>
                </c:pt>
                <c:pt idx="156">
                  <c:v>55.3</c:v>
                </c:pt>
                <c:pt idx="157">
                  <c:v>54.5</c:v>
                </c:pt>
                <c:pt idx="158">
                  <c:v>59.7</c:v>
                </c:pt>
                <c:pt idx="159">
                  <c:v>50.5</c:v>
                </c:pt>
                <c:pt idx="160">
                  <c:v>54.9</c:v>
                </c:pt>
                <c:pt idx="161">
                  <c:v>55</c:v>
                </c:pt>
                <c:pt idx="162">
                  <c:v>51.8</c:v>
                </c:pt>
                <c:pt idx="163">
                  <c:v>55.5</c:v>
                </c:pt>
                <c:pt idx="164">
                  <c:v>53.5</c:v>
                </c:pt>
                <c:pt idx="165">
                  <c:v>43.4</c:v>
                </c:pt>
                <c:pt idx="166">
                  <c:v>49.6</c:v>
                </c:pt>
                <c:pt idx="167">
                  <c:v>43.1</c:v>
                </c:pt>
                <c:pt idx="168">
                  <c:v>48.4</c:v>
                </c:pt>
                <c:pt idx="169">
                  <c:v>42.5</c:v>
                </c:pt>
                <c:pt idx="170">
                  <c:v>41.4</c:v>
                </c:pt>
                <c:pt idx="171">
                  <c:v>45</c:v>
                </c:pt>
                <c:pt idx="172">
                  <c:v>43.2</c:v>
                </c:pt>
                <c:pt idx="173">
                  <c:v>36.200000000000003</c:v>
                </c:pt>
                <c:pt idx="174">
                  <c:v>34.4</c:v>
                </c:pt>
                <c:pt idx="175">
                  <c:v>36.9</c:v>
                </c:pt>
                <c:pt idx="176">
                  <c:v>38.299999999999997</c:v>
                </c:pt>
                <c:pt idx="177">
                  <c:v>33.200000000000003</c:v>
                </c:pt>
                <c:pt idx="178">
                  <c:v>32.6</c:v>
                </c:pt>
                <c:pt idx="179">
                  <c:v>36.299999999999997</c:v>
                </c:pt>
                <c:pt idx="180">
                  <c:v>35.6</c:v>
                </c:pt>
                <c:pt idx="181">
                  <c:v>37.1</c:v>
                </c:pt>
                <c:pt idx="182">
                  <c:v>36.799999999999997</c:v>
                </c:pt>
                <c:pt idx="183">
                  <c:v>27.5</c:v>
                </c:pt>
                <c:pt idx="184">
                  <c:v>26.4</c:v>
                </c:pt>
                <c:pt idx="185">
                  <c:v>32.4</c:v>
                </c:pt>
                <c:pt idx="186">
                  <c:v>26.2</c:v>
                </c:pt>
                <c:pt idx="187">
                  <c:v>33.6</c:v>
                </c:pt>
                <c:pt idx="188">
                  <c:v>33.1</c:v>
                </c:pt>
                <c:pt idx="189">
                  <c:v>25.7</c:v>
                </c:pt>
                <c:pt idx="190">
                  <c:v>30.8</c:v>
                </c:pt>
                <c:pt idx="191">
                  <c:v>23.6</c:v>
                </c:pt>
                <c:pt idx="192">
                  <c:v>30.7</c:v>
                </c:pt>
                <c:pt idx="193">
                  <c:v>21.6</c:v>
                </c:pt>
                <c:pt idx="194">
                  <c:v>21.7</c:v>
                </c:pt>
                <c:pt idx="195">
                  <c:v>25.1</c:v>
                </c:pt>
                <c:pt idx="196">
                  <c:v>21.1</c:v>
                </c:pt>
                <c:pt idx="197">
                  <c:v>21.9</c:v>
                </c:pt>
                <c:pt idx="198">
                  <c:v>23.4</c:v>
                </c:pt>
                <c:pt idx="199">
                  <c:v>22.8</c:v>
                </c:pt>
                <c:pt idx="200">
                  <c:v>20.6</c:v>
                </c:pt>
                <c:pt idx="201">
                  <c:v>24.3</c:v>
                </c:pt>
                <c:pt idx="202">
                  <c:v>19</c:v>
                </c:pt>
                <c:pt idx="203">
                  <c:v>26.1</c:v>
                </c:pt>
                <c:pt idx="204">
                  <c:v>25.2</c:v>
                </c:pt>
                <c:pt idx="205">
                  <c:v>25.5</c:v>
                </c:pt>
                <c:pt idx="206">
                  <c:v>22.1</c:v>
                </c:pt>
                <c:pt idx="207">
                  <c:v>22.6</c:v>
                </c:pt>
                <c:pt idx="208">
                  <c:v>19.899999999999999</c:v>
                </c:pt>
                <c:pt idx="209">
                  <c:v>25.3</c:v>
                </c:pt>
                <c:pt idx="210">
                  <c:v>19</c:v>
                </c:pt>
                <c:pt idx="211">
                  <c:v>17.7</c:v>
                </c:pt>
                <c:pt idx="212">
                  <c:v>18.5</c:v>
                </c:pt>
                <c:pt idx="213">
                  <c:v>22.5</c:v>
                </c:pt>
                <c:pt idx="214">
                  <c:v>17</c:v>
                </c:pt>
                <c:pt idx="215">
                  <c:v>21.4</c:v>
                </c:pt>
                <c:pt idx="216">
                  <c:v>22.9</c:v>
                </c:pt>
                <c:pt idx="217">
                  <c:v>14.3</c:v>
                </c:pt>
                <c:pt idx="218">
                  <c:v>18.3</c:v>
                </c:pt>
                <c:pt idx="219">
                  <c:v>21.5</c:v>
                </c:pt>
                <c:pt idx="220">
                  <c:v>22.5</c:v>
                </c:pt>
                <c:pt idx="221">
                  <c:v>21.2</c:v>
                </c:pt>
                <c:pt idx="222">
                  <c:v>15.6</c:v>
                </c:pt>
                <c:pt idx="223">
                  <c:v>15.4</c:v>
                </c:pt>
                <c:pt idx="224">
                  <c:v>21.9</c:v>
                </c:pt>
                <c:pt idx="225">
                  <c:v>18.5</c:v>
                </c:pt>
                <c:pt idx="226">
                  <c:v>14</c:v>
                </c:pt>
                <c:pt idx="227">
                  <c:v>16.3</c:v>
                </c:pt>
                <c:pt idx="228">
                  <c:v>19.600000000000001</c:v>
                </c:pt>
                <c:pt idx="229">
                  <c:v>13.2</c:v>
                </c:pt>
                <c:pt idx="230">
                  <c:v>14.8</c:v>
                </c:pt>
                <c:pt idx="231">
                  <c:v>18.399999999999999</c:v>
                </c:pt>
                <c:pt idx="232">
                  <c:v>17.399999999999999</c:v>
                </c:pt>
                <c:pt idx="233">
                  <c:v>13.4</c:v>
                </c:pt>
                <c:pt idx="234">
                  <c:v>17.8</c:v>
                </c:pt>
                <c:pt idx="235">
                  <c:v>21.1</c:v>
                </c:pt>
                <c:pt idx="236">
                  <c:v>20.5</c:v>
                </c:pt>
                <c:pt idx="237">
                  <c:v>19.2</c:v>
                </c:pt>
                <c:pt idx="238">
                  <c:v>17.100000000000001</c:v>
                </c:pt>
                <c:pt idx="239">
                  <c:v>19.3</c:v>
                </c:pt>
                <c:pt idx="240">
                  <c:v>12.5</c:v>
                </c:pt>
                <c:pt idx="241">
                  <c:v>20.6</c:v>
                </c:pt>
                <c:pt idx="242">
                  <c:v>15.2</c:v>
                </c:pt>
                <c:pt idx="243">
                  <c:v>17.8</c:v>
                </c:pt>
                <c:pt idx="244">
                  <c:v>20.6</c:v>
                </c:pt>
                <c:pt idx="245">
                  <c:v>21.5</c:v>
                </c:pt>
                <c:pt idx="246">
                  <c:v>21.5</c:v>
                </c:pt>
                <c:pt idx="247">
                  <c:v>21.2</c:v>
                </c:pt>
                <c:pt idx="248">
                  <c:v>19.3</c:v>
                </c:pt>
                <c:pt idx="249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90-4F1F-9519-C8B7FB4D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53968"/>
        <c:axId val="1201754448"/>
      </c:scatterChart>
      <c:valAx>
        <c:axId val="120175396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4448"/>
        <c:crosses val="autoZero"/>
        <c:crossBetween val="midCat"/>
      </c:valAx>
      <c:valAx>
        <c:axId val="1201754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glucose concentration </a:t>
                </a:r>
                <a:r>
                  <a:rPr lang="en-SG" sz="10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(mg/dl)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3968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[1]adult_007_20251016_171748!$H$4</c:f>
              <c:strCache>
                <c:ptCount val="1"/>
                <c:pt idx="0">
                  <c:v>insulin</c:v>
                </c:pt>
              </c:strCache>
            </c:strRef>
          </c:tx>
          <c:spPr>
            <a:ln>
              <a:solidFill>
                <a:srgbClr val="C61685"/>
              </a:solidFill>
            </a:ln>
          </c:spPr>
          <c:marker>
            <c:symbol val="none"/>
          </c:marker>
          <c:xVal>
            <c:numRef>
              <c:f>[1]adult_007_20251016_171748!$D$5:$D$254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xVal>
          <c:yVal>
            <c:numRef>
              <c:f>[1]adult_007_20251016_171748!$H$5:$H$254</c:f>
              <c:numCache>
                <c:formatCode>General</c:formatCode>
                <c:ptCount val="250"/>
                <c:pt idx="0">
                  <c:v>2.0799999999999999E-2</c:v>
                </c:pt>
                <c:pt idx="1">
                  <c:v>2.0799999999999999E-2</c:v>
                </c:pt>
                <c:pt idx="2">
                  <c:v>2.0799999999999999E-2</c:v>
                </c:pt>
                <c:pt idx="3">
                  <c:v>2.0799999999999999E-2</c:v>
                </c:pt>
                <c:pt idx="4">
                  <c:v>2.0799999999999999E-2</c:v>
                </c:pt>
                <c:pt idx="5">
                  <c:v>2.0799999999999999E-2</c:v>
                </c:pt>
                <c:pt idx="6">
                  <c:v>2.0799999999999999E-2</c:v>
                </c:pt>
                <c:pt idx="7">
                  <c:v>2.0799999999999999E-2</c:v>
                </c:pt>
                <c:pt idx="8">
                  <c:v>2.0799999999999999E-2</c:v>
                </c:pt>
                <c:pt idx="9">
                  <c:v>2.0799999999999999E-2</c:v>
                </c:pt>
                <c:pt idx="10">
                  <c:v>2.0799999999999999E-2</c:v>
                </c:pt>
                <c:pt idx="11">
                  <c:v>2.0799999999999999E-2</c:v>
                </c:pt>
                <c:pt idx="12">
                  <c:v>2.0799999999999999E-2</c:v>
                </c:pt>
                <c:pt idx="13">
                  <c:v>2.0799999999999999E-2</c:v>
                </c:pt>
                <c:pt idx="14">
                  <c:v>2.0799999999999999E-2</c:v>
                </c:pt>
                <c:pt idx="15">
                  <c:v>2.0799999999999999E-2</c:v>
                </c:pt>
                <c:pt idx="16">
                  <c:v>2.0799999999999999E-2</c:v>
                </c:pt>
                <c:pt idx="17">
                  <c:v>2.0799999999999999E-2</c:v>
                </c:pt>
                <c:pt idx="18">
                  <c:v>2.0799999999999999E-2</c:v>
                </c:pt>
                <c:pt idx="19">
                  <c:v>2.0799999999999999E-2</c:v>
                </c:pt>
                <c:pt idx="20">
                  <c:v>2.0799999999999999E-2</c:v>
                </c:pt>
                <c:pt idx="21">
                  <c:v>2.0799999999999999E-2</c:v>
                </c:pt>
                <c:pt idx="22">
                  <c:v>2.0799999999999999E-2</c:v>
                </c:pt>
                <c:pt idx="23">
                  <c:v>2.0799999999999999E-2</c:v>
                </c:pt>
                <c:pt idx="24">
                  <c:v>2.0799999999999999E-2</c:v>
                </c:pt>
                <c:pt idx="25">
                  <c:v>2.0799999999999999E-2</c:v>
                </c:pt>
                <c:pt idx="26">
                  <c:v>2.0799999999999999E-2</c:v>
                </c:pt>
                <c:pt idx="27">
                  <c:v>2.0799999999999999E-2</c:v>
                </c:pt>
                <c:pt idx="28">
                  <c:v>2.0799999999999999E-2</c:v>
                </c:pt>
                <c:pt idx="29">
                  <c:v>2.0799999999999999E-2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4.4999999999999998E-2</c:v>
                </c:pt>
                <c:pt idx="49">
                  <c:v>4.4999999999999998E-2</c:v>
                </c:pt>
                <c:pt idx="50">
                  <c:v>4.4999999999999998E-2</c:v>
                </c:pt>
                <c:pt idx="51">
                  <c:v>4.4999999999999998E-2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4.4999999999999998E-2</c:v>
                </c:pt>
                <c:pt idx="56">
                  <c:v>4.4999999999999998E-2</c:v>
                </c:pt>
                <c:pt idx="57">
                  <c:v>4.4999999999999998E-2</c:v>
                </c:pt>
                <c:pt idx="58">
                  <c:v>4.4999999999999998E-2</c:v>
                </c:pt>
                <c:pt idx="59">
                  <c:v>4.4999999999999998E-2</c:v>
                </c:pt>
                <c:pt idx="60">
                  <c:v>4.4999999999999998E-2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4.4999999999999998E-2</c:v>
                </c:pt>
                <c:pt idx="64">
                  <c:v>4.4999999999999998E-2</c:v>
                </c:pt>
                <c:pt idx="65">
                  <c:v>4.4999999999999998E-2</c:v>
                </c:pt>
                <c:pt idx="66">
                  <c:v>4.4999999999999998E-2</c:v>
                </c:pt>
                <c:pt idx="67">
                  <c:v>4.4999999999999998E-2</c:v>
                </c:pt>
                <c:pt idx="68">
                  <c:v>4.4999999999999998E-2</c:v>
                </c:pt>
                <c:pt idx="69">
                  <c:v>4.4999999999999998E-2</c:v>
                </c:pt>
                <c:pt idx="70">
                  <c:v>4.4999999999999998E-2</c:v>
                </c:pt>
                <c:pt idx="71">
                  <c:v>4.4999999999999998E-2</c:v>
                </c:pt>
                <c:pt idx="72">
                  <c:v>4.4999999999999998E-2</c:v>
                </c:pt>
                <c:pt idx="73">
                  <c:v>4.4999999999999998E-2</c:v>
                </c:pt>
                <c:pt idx="74">
                  <c:v>4.4999999999999998E-2</c:v>
                </c:pt>
                <c:pt idx="75">
                  <c:v>4.4999999999999998E-2</c:v>
                </c:pt>
                <c:pt idx="76">
                  <c:v>4.4999999999999998E-2</c:v>
                </c:pt>
                <c:pt idx="77">
                  <c:v>4.4999999999999998E-2</c:v>
                </c:pt>
                <c:pt idx="78">
                  <c:v>4.4999999999999998E-2</c:v>
                </c:pt>
                <c:pt idx="79">
                  <c:v>4.4999999999999998E-2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4.4999999999999998E-2</c:v>
                </c:pt>
                <c:pt idx="83">
                  <c:v>4.4999999999999998E-2</c:v>
                </c:pt>
                <c:pt idx="84">
                  <c:v>4.4999999999999998E-2</c:v>
                </c:pt>
                <c:pt idx="85">
                  <c:v>4.4999999999999998E-2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4.4999999999999998E-2</c:v>
                </c:pt>
                <c:pt idx="93">
                  <c:v>4.4999999999999998E-2</c:v>
                </c:pt>
                <c:pt idx="94">
                  <c:v>4.4999999999999998E-2</c:v>
                </c:pt>
                <c:pt idx="95">
                  <c:v>4.4999999999999998E-2</c:v>
                </c:pt>
                <c:pt idx="96">
                  <c:v>4.4999999999999998E-2</c:v>
                </c:pt>
                <c:pt idx="97">
                  <c:v>4.4999999999999998E-2</c:v>
                </c:pt>
                <c:pt idx="98">
                  <c:v>4.4999999999999998E-2</c:v>
                </c:pt>
                <c:pt idx="99">
                  <c:v>4.4999999999999998E-2</c:v>
                </c:pt>
                <c:pt idx="100">
                  <c:v>4.4999999999999998E-2</c:v>
                </c:pt>
                <c:pt idx="101">
                  <c:v>4.4999999999999998E-2</c:v>
                </c:pt>
                <c:pt idx="102">
                  <c:v>4.4999999999999998E-2</c:v>
                </c:pt>
                <c:pt idx="103">
                  <c:v>4.4999999999999998E-2</c:v>
                </c:pt>
                <c:pt idx="104">
                  <c:v>4.4999999999999998E-2</c:v>
                </c:pt>
                <c:pt idx="105">
                  <c:v>4.4999999999999998E-2</c:v>
                </c:pt>
                <c:pt idx="106">
                  <c:v>4.4999999999999998E-2</c:v>
                </c:pt>
                <c:pt idx="107">
                  <c:v>4.4999999999999998E-2</c:v>
                </c:pt>
                <c:pt idx="108">
                  <c:v>4.4999999999999998E-2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4.4999999999999998E-2</c:v>
                </c:pt>
                <c:pt idx="112">
                  <c:v>4.4999999999999998E-2</c:v>
                </c:pt>
                <c:pt idx="113">
                  <c:v>4.4999999999999998E-2</c:v>
                </c:pt>
                <c:pt idx="114">
                  <c:v>4.4999999999999998E-2</c:v>
                </c:pt>
                <c:pt idx="115">
                  <c:v>4.4999999999999998E-2</c:v>
                </c:pt>
                <c:pt idx="116">
                  <c:v>4.4999999999999998E-2</c:v>
                </c:pt>
                <c:pt idx="117">
                  <c:v>4.4999999999999998E-2</c:v>
                </c:pt>
                <c:pt idx="118">
                  <c:v>4.4999999999999998E-2</c:v>
                </c:pt>
                <c:pt idx="119">
                  <c:v>4.4999999999999998E-2</c:v>
                </c:pt>
                <c:pt idx="120">
                  <c:v>4.4999999999999998E-2</c:v>
                </c:pt>
                <c:pt idx="121">
                  <c:v>4.4999999999999998E-2</c:v>
                </c:pt>
                <c:pt idx="122">
                  <c:v>4.4999999999999998E-2</c:v>
                </c:pt>
                <c:pt idx="123">
                  <c:v>4.4999999999999998E-2</c:v>
                </c:pt>
                <c:pt idx="124">
                  <c:v>4.4999999999999998E-2</c:v>
                </c:pt>
                <c:pt idx="125">
                  <c:v>4.4999999999999998E-2</c:v>
                </c:pt>
                <c:pt idx="126">
                  <c:v>4.4999999999999998E-2</c:v>
                </c:pt>
                <c:pt idx="127">
                  <c:v>4.4999999999999998E-2</c:v>
                </c:pt>
                <c:pt idx="128">
                  <c:v>4.4999999999999998E-2</c:v>
                </c:pt>
                <c:pt idx="129">
                  <c:v>4.4999999999999998E-2</c:v>
                </c:pt>
                <c:pt idx="130">
                  <c:v>2.0799999999999999E-2</c:v>
                </c:pt>
                <c:pt idx="131">
                  <c:v>2.0799999999999999E-2</c:v>
                </c:pt>
                <c:pt idx="132">
                  <c:v>2.0799999999999999E-2</c:v>
                </c:pt>
                <c:pt idx="133">
                  <c:v>2.0799999999999999E-2</c:v>
                </c:pt>
                <c:pt idx="134">
                  <c:v>2.0799999999999999E-2</c:v>
                </c:pt>
                <c:pt idx="135">
                  <c:v>2.0799999999999999E-2</c:v>
                </c:pt>
                <c:pt idx="136">
                  <c:v>2.0799999999999999E-2</c:v>
                </c:pt>
                <c:pt idx="137">
                  <c:v>2.0799999999999999E-2</c:v>
                </c:pt>
                <c:pt idx="138">
                  <c:v>2.0799999999999999E-2</c:v>
                </c:pt>
                <c:pt idx="139">
                  <c:v>2.0799999999999999E-2</c:v>
                </c:pt>
                <c:pt idx="140">
                  <c:v>2.0799999999999999E-2</c:v>
                </c:pt>
                <c:pt idx="141">
                  <c:v>2.0799999999999999E-2</c:v>
                </c:pt>
                <c:pt idx="142">
                  <c:v>2.0799999999999999E-2</c:v>
                </c:pt>
                <c:pt idx="143">
                  <c:v>2.0799999999999999E-2</c:v>
                </c:pt>
                <c:pt idx="144">
                  <c:v>2.0799999999999999E-2</c:v>
                </c:pt>
                <c:pt idx="145">
                  <c:v>2.0799999999999999E-2</c:v>
                </c:pt>
                <c:pt idx="146">
                  <c:v>2.0799999999999999E-2</c:v>
                </c:pt>
                <c:pt idx="147">
                  <c:v>2.0799999999999999E-2</c:v>
                </c:pt>
                <c:pt idx="148">
                  <c:v>2.0799999999999999E-2</c:v>
                </c:pt>
                <c:pt idx="149">
                  <c:v>2.0799999999999999E-2</c:v>
                </c:pt>
                <c:pt idx="150">
                  <c:v>2.0799999999999999E-2</c:v>
                </c:pt>
                <c:pt idx="151">
                  <c:v>2.0799999999999999E-2</c:v>
                </c:pt>
                <c:pt idx="152">
                  <c:v>2.0799999999999999E-2</c:v>
                </c:pt>
                <c:pt idx="153">
                  <c:v>2.0799999999999999E-2</c:v>
                </c:pt>
                <c:pt idx="154">
                  <c:v>2.0799999999999999E-2</c:v>
                </c:pt>
                <c:pt idx="155">
                  <c:v>2.0799999999999999E-2</c:v>
                </c:pt>
                <c:pt idx="156">
                  <c:v>2.0799999999999999E-2</c:v>
                </c:pt>
                <c:pt idx="157">
                  <c:v>2.0799999999999999E-2</c:v>
                </c:pt>
                <c:pt idx="158">
                  <c:v>2.0799999999999999E-2</c:v>
                </c:pt>
                <c:pt idx="159">
                  <c:v>2.0799999999999999E-2</c:v>
                </c:pt>
                <c:pt idx="160">
                  <c:v>2.0799999999999999E-2</c:v>
                </c:pt>
                <c:pt idx="161">
                  <c:v>2.0799999999999999E-2</c:v>
                </c:pt>
                <c:pt idx="162">
                  <c:v>2.0799999999999999E-2</c:v>
                </c:pt>
                <c:pt idx="163">
                  <c:v>2.0799999999999999E-2</c:v>
                </c:pt>
                <c:pt idx="164">
                  <c:v>2.0799999999999999E-2</c:v>
                </c:pt>
                <c:pt idx="165">
                  <c:v>2.0799999999999999E-2</c:v>
                </c:pt>
                <c:pt idx="166">
                  <c:v>2.0799999999999999E-2</c:v>
                </c:pt>
                <c:pt idx="167">
                  <c:v>2.0799999999999999E-2</c:v>
                </c:pt>
                <c:pt idx="168">
                  <c:v>2.0799999999999999E-2</c:v>
                </c:pt>
                <c:pt idx="169">
                  <c:v>2.0799999999999999E-2</c:v>
                </c:pt>
                <c:pt idx="170">
                  <c:v>2.0799999999999999E-2</c:v>
                </c:pt>
                <c:pt idx="171">
                  <c:v>2.0799999999999999E-2</c:v>
                </c:pt>
                <c:pt idx="172">
                  <c:v>2.0799999999999999E-2</c:v>
                </c:pt>
                <c:pt idx="173">
                  <c:v>2.0799999999999999E-2</c:v>
                </c:pt>
                <c:pt idx="174">
                  <c:v>2.0799999999999999E-2</c:v>
                </c:pt>
                <c:pt idx="175">
                  <c:v>2.0799999999999999E-2</c:v>
                </c:pt>
                <c:pt idx="176">
                  <c:v>2.0799999999999999E-2</c:v>
                </c:pt>
                <c:pt idx="177">
                  <c:v>2.0799999999999999E-2</c:v>
                </c:pt>
                <c:pt idx="178">
                  <c:v>2.0799999999999999E-2</c:v>
                </c:pt>
                <c:pt idx="179">
                  <c:v>2.0799999999999999E-2</c:v>
                </c:pt>
                <c:pt idx="180">
                  <c:v>2.0799999999999999E-2</c:v>
                </c:pt>
                <c:pt idx="181">
                  <c:v>2.0799999999999999E-2</c:v>
                </c:pt>
                <c:pt idx="182">
                  <c:v>2.0799999999999999E-2</c:v>
                </c:pt>
                <c:pt idx="183">
                  <c:v>2.0799999999999999E-2</c:v>
                </c:pt>
                <c:pt idx="184">
                  <c:v>2.0799999999999999E-2</c:v>
                </c:pt>
                <c:pt idx="185">
                  <c:v>2.0799999999999999E-2</c:v>
                </c:pt>
                <c:pt idx="186">
                  <c:v>2.0799999999999999E-2</c:v>
                </c:pt>
                <c:pt idx="187">
                  <c:v>2.0799999999999999E-2</c:v>
                </c:pt>
                <c:pt idx="188">
                  <c:v>2.0799999999999999E-2</c:v>
                </c:pt>
                <c:pt idx="189">
                  <c:v>2.0799999999999999E-2</c:v>
                </c:pt>
                <c:pt idx="190">
                  <c:v>2.0799999999999999E-2</c:v>
                </c:pt>
                <c:pt idx="191">
                  <c:v>2.0799999999999999E-2</c:v>
                </c:pt>
                <c:pt idx="192">
                  <c:v>2.0799999999999999E-2</c:v>
                </c:pt>
                <c:pt idx="193">
                  <c:v>2.0799999999999999E-2</c:v>
                </c:pt>
                <c:pt idx="194">
                  <c:v>2.0799999999999999E-2</c:v>
                </c:pt>
                <c:pt idx="195">
                  <c:v>2.0799999999999999E-2</c:v>
                </c:pt>
                <c:pt idx="196">
                  <c:v>2.0799999999999999E-2</c:v>
                </c:pt>
                <c:pt idx="197">
                  <c:v>2.0799999999999999E-2</c:v>
                </c:pt>
                <c:pt idx="198">
                  <c:v>2.0799999999999999E-2</c:v>
                </c:pt>
                <c:pt idx="199">
                  <c:v>2.0799999999999999E-2</c:v>
                </c:pt>
                <c:pt idx="200">
                  <c:v>2.0799999999999999E-2</c:v>
                </c:pt>
                <c:pt idx="201">
                  <c:v>2.0799999999999999E-2</c:v>
                </c:pt>
                <c:pt idx="202">
                  <c:v>2.0799999999999999E-2</c:v>
                </c:pt>
                <c:pt idx="203">
                  <c:v>2.0799999999999999E-2</c:v>
                </c:pt>
                <c:pt idx="204">
                  <c:v>2.0799999999999999E-2</c:v>
                </c:pt>
                <c:pt idx="205">
                  <c:v>2.0799999999999999E-2</c:v>
                </c:pt>
                <c:pt idx="206">
                  <c:v>2.0799999999999999E-2</c:v>
                </c:pt>
                <c:pt idx="207">
                  <c:v>2.0799999999999999E-2</c:v>
                </c:pt>
                <c:pt idx="208">
                  <c:v>2.0799999999999999E-2</c:v>
                </c:pt>
                <c:pt idx="209">
                  <c:v>2.0799999999999999E-2</c:v>
                </c:pt>
                <c:pt idx="210">
                  <c:v>2.0799999999999999E-2</c:v>
                </c:pt>
                <c:pt idx="211">
                  <c:v>2.0799999999999999E-2</c:v>
                </c:pt>
                <c:pt idx="212">
                  <c:v>2.0799999999999999E-2</c:v>
                </c:pt>
                <c:pt idx="213">
                  <c:v>2.0799999999999999E-2</c:v>
                </c:pt>
                <c:pt idx="214">
                  <c:v>2.0799999999999999E-2</c:v>
                </c:pt>
                <c:pt idx="215">
                  <c:v>2.0799999999999999E-2</c:v>
                </c:pt>
                <c:pt idx="216">
                  <c:v>2.0799999999999999E-2</c:v>
                </c:pt>
                <c:pt idx="217">
                  <c:v>2.0799999999999999E-2</c:v>
                </c:pt>
                <c:pt idx="218">
                  <c:v>2.0799999999999999E-2</c:v>
                </c:pt>
                <c:pt idx="219">
                  <c:v>2.0799999999999999E-2</c:v>
                </c:pt>
                <c:pt idx="220">
                  <c:v>2.0799999999999999E-2</c:v>
                </c:pt>
                <c:pt idx="221">
                  <c:v>2.0799999999999999E-2</c:v>
                </c:pt>
                <c:pt idx="222">
                  <c:v>2.0799999999999999E-2</c:v>
                </c:pt>
                <c:pt idx="223">
                  <c:v>2.0799999999999999E-2</c:v>
                </c:pt>
                <c:pt idx="224">
                  <c:v>2.0799999999999999E-2</c:v>
                </c:pt>
                <c:pt idx="225">
                  <c:v>2.0799999999999999E-2</c:v>
                </c:pt>
                <c:pt idx="226">
                  <c:v>2.0799999999999999E-2</c:v>
                </c:pt>
                <c:pt idx="227">
                  <c:v>2.0799999999999999E-2</c:v>
                </c:pt>
                <c:pt idx="228">
                  <c:v>2.0799999999999999E-2</c:v>
                </c:pt>
                <c:pt idx="229">
                  <c:v>2.0799999999999999E-2</c:v>
                </c:pt>
                <c:pt idx="230">
                  <c:v>2.0799999999999999E-2</c:v>
                </c:pt>
                <c:pt idx="231">
                  <c:v>2.0799999999999999E-2</c:v>
                </c:pt>
                <c:pt idx="232">
                  <c:v>2.0799999999999999E-2</c:v>
                </c:pt>
                <c:pt idx="233">
                  <c:v>2.0799999999999999E-2</c:v>
                </c:pt>
                <c:pt idx="234">
                  <c:v>2.0799999999999999E-2</c:v>
                </c:pt>
                <c:pt idx="235">
                  <c:v>2.0799999999999999E-2</c:v>
                </c:pt>
                <c:pt idx="236">
                  <c:v>2.0799999999999999E-2</c:v>
                </c:pt>
                <c:pt idx="237">
                  <c:v>2.0799999999999999E-2</c:v>
                </c:pt>
                <c:pt idx="238">
                  <c:v>2.0799999999999999E-2</c:v>
                </c:pt>
                <c:pt idx="239">
                  <c:v>2.0799999999999999E-2</c:v>
                </c:pt>
                <c:pt idx="240">
                  <c:v>2.0799999999999999E-2</c:v>
                </c:pt>
                <c:pt idx="241">
                  <c:v>2.0799999999999999E-2</c:v>
                </c:pt>
                <c:pt idx="242">
                  <c:v>2.0799999999999999E-2</c:v>
                </c:pt>
                <c:pt idx="243">
                  <c:v>2.0799999999999999E-2</c:v>
                </c:pt>
                <c:pt idx="244">
                  <c:v>2.0799999999999999E-2</c:v>
                </c:pt>
                <c:pt idx="245">
                  <c:v>2.0799999999999999E-2</c:v>
                </c:pt>
                <c:pt idx="246">
                  <c:v>2.0799999999999999E-2</c:v>
                </c:pt>
                <c:pt idx="247">
                  <c:v>2.0799999999999999E-2</c:v>
                </c:pt>
                <c:pt idx="248">
                  <c:v>2.0799999999999999E-2</c:v>
                </c:pt>
                <c:pt idx="249">
                  <c:v>2.0799999999999999E-2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3-4289-B46F-BA881E1AA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53968"/>
        <c:axId val="1201754448"/>
      </c:scatterChart>
      <c:valAx>
        <c:axId val="120175396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4448"/>
        <c:crosses val="autoZero"/>
        <c:crossBetween val="midCat"/>
      </c:valAx>
      <c:valAx>
        <c:axId val="12017544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SG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Insulin </a:t>
                </a:r>
                <a:r>
                  <a:rPr lang="en-SG" sz="10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(unit)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753968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3</xdr:row>
      <xdr:rowOff>76200</xdr:rowOff>
    </xdr:from>
    <xdr:to>
      <xdr:col>21</xdr:col>
      <xdr:colOff>606750</xdr:colOff>
      <xdr:row>26</xdr:row>
      <xdr:rowOff>14700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AFB17-1011-4514-BC62-740128FE8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26</xdr:row>
      <xdr:rowOff>180975</xdr:rowOff>
    </xdr:from>
    <xdr:to>
      <xdr:col>21</xdr:col>
      <xdr:colOff>606750</xdr:colOff>
      <xdr:row>49</xdr:row>
      <xdr:rowOff>119475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4304E-F675-4FDB-B912-6F5B69066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3</xdr:row>
      <xdr:rowOff>76200</xdr:rowOff>
    </xdr:from>
    <xdr:to>
      <xdr:col>21</xdr:col>
      <xdr:colOff>606750</xdr:colOff>
      <xdr:row>26</xdr:row>
      <xdr:rowOff>14700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E2485-18FB-428B-9286-21E338A45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26</xdr:row>
      <xdr:rowOff>180975</xdr:rowOff>
    </xdr:from>
    <xdr:to>
      <xdr:col>21</xdr:col>
      <xdr:colOff>606750</xdr:colOff>
      <xdr:row>49</xdr:row>
      <xdr:rowOff>119475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C4D82A-7670-40F6-9B29-AFAB78C31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personal/shng_ic_ac_uk/Documents/Microsoft%20Teams%20Chat%20Files/CGM%20log%20files%20(adult_007).xlsx" TargetMode="External"/><Relationship Id="rId1" Type="http://schemas.openxmlformats.org/officeDocument/2006/relationships/externalLinkPath" Target="/personal/shng_ic_ac_uk/Documents/Microsoft%20Teams%20Chat%20Files/CGM%20log%20files%20(adult_00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 useful &lt; 10 data point"/>
      <sheetName val="adult_007_20251016_142842"/>
      <sheetName val="adult_007_20251016_161816"/>
      <sheetName val="adult_007_20251016_171748"/>
      <sheetName val="adult_007_20251017_102741"/>
      <sheetName val="adult_007_20251021_183320"/>
      <sheetName val="adult_007_20251107_175457"/>
      <sheetName val="adult_007_20251118_103637"/>
      <sheetName val="adult_007_20251118_124255"/>
      <sheetName val="adult_007_20251118_132748"/>
      <sheetName val="adult_007_20251118_141915"/>
      <sheetName val="adult_007_20251118_161554"/>
      <sheetName val="adult_007_20251119_121611"/>
      <sheetName val="adult_007_20251120_132930"/>
      <sheetName val="adult_007_20251120_182621"/>
      <sheetName val="adult_007_20251121_100423"/>
      <sheetName val="adult_007_20251121_120623"/>
      <sheetName val="adult_007_20251121_135757"/>
      <sheetName val="adult_007_20251121_190402"/>
      <sheetName val="adult_007_20251121_225402"/>
      <sheetName val="adult_007_20251125_140232"/>
      <sheetName val="adult_007_20251126_092536"/>
      <sheetName val="adult_007_20251126_105448"/>
      <sheetName val="adult_007_20251126_145328"/>
      <sheetName val="adult_007_20251126_155343"/>
      <sheetName val="adult_007_20251127_164903"/>
    </sheetNames>
    <sheetDataSet>
      <sheetData sheetId="0" refreshError="1"/>
      <sheetData sheetId="1" refreshError="1"/>
      <sheetData sheetId="2" refreshError="1"/>
      <sheetData sheetId="3">
        <row r="4">
          <cell r="E4" t="str">
            <v>CGM_reading</v>
          </cell>
          <cell r="F4" t="str">
            <v>Paitent_glucose</v>
          </cell>
          <cell r="H4" t="str">
            <v>insulin</v>
          </cell>
        </row>
        <row r="5">
          <cell r="D5">
            <v>0</v>
          </cell>
          <cell r="E5">
            <v>124.2</v>
          </cell>
          <cell r="F5">
            <v>113</v>
          </cell>
          <cell r="H5">
            <v>2.0799999999999999E-2</v>
          </cell>
        </row>
        <row r="6">
          <cell r="D6">
            <v>1</v>
          </cell>
          <cell r="E6">
            <v>124</v>
          </cell>
          <cell r="F6">
            <v>114.9</v>
          </cell>
          <cell r="H6">
            <v>2.0799999999999999E-2</v>
          </cell>
        </row>
        <row r="7">
          <cell r="D7">
            <v>2</v>
          </cell>
          <cell r="E7">
            <v>124.2</v>
          </cell>
          <cell r="F7">
            <v>118.2</v>
          </cell>
          <cell r="H7">
            <v>2.0799999999999999E-2</v>
          </cell>
        </row>
        <row r="8">
          <cell r="D8">
            <v>3</v>
          </cell>
          <cell r="E8">
            <v>124</v>
          </cell>
          <cell r="F8">
            <v>111.2</v>
          </cell>
          <cell r="H8">
            <v>2.0799999999999999E-2</v>
          </cell>
        </row>
        <row r="9">
          <cell r="D9">
            <v>4</v>
          </cell>
          <cell r="E9">
            <v>124.2</v>
          </cell>
          <cell r="F9">
            <v>118.8</v>
          </cell>
          <cell r="H9">
            <v>2.0799999999999999E-2</v>
          </cell>
        </row>
        <row r="10">
          <cell r="D10">
            <v>5</v>
          </cell>
          <cell r="E10">
            <v>124</v>
          </cell>
          <cell r="F10">
            <v>118.8</v>
          </cell>
          <cell r="H10">
            <v>2.0799999999999999E-2</v>
          </cell>
        </row>
        <row r="11">
          <cell r="D11">
            <v>6</v>
          </cell>
          <cell r="E11">
            <v>123.8</v>
          </cell>
          <cell r="F11">
            <v>119.6</v>
          </cell>
          <cell r="H11">
            <v>2.0799999999999999E-2</v>
          </cell>
        </row>
        <row r="12">
          <cell r="D12">
            <v>7</v>
          </cell>
          <cell r="E12">
            <v>124.4</v>
          </cell>
          <cell r="F12">
            <v>113.6</v>
          </cell>
          <cell r="H12">
            <v>2.0799999999999999E-2</v>
          </cell>
        </row>
        <row r="13">
          <cell r="D13">
            <v>8</v>
          </cell>
          <cell r="E13">
            <v>125.1</v>
          </cell>
          <cell r="F13">
            <v>110.6</v>
          </cell>
          <cell r="H13">
            <v>2.0799999999999999E-2</v>
          </cell>
        </row>
        <row r="14">
          <cell r="D14">
            <v>9</v>
          </cell>
          <cell r="E14">
            <v>127.1</v>
          </cell>
          <cell r="F14">
            <v>116.4</v>
          </cell>
          <cell r="H14">
            <v>2.0799999999999999E-2</v>
          </cell>
        </row>
        <row r="15">
          <cell r="D15">
            <v>10</v>
          </cell>
          <cell r="E15">
            <v>127.1</v>
          </cell>
          <cell r="F15">
            <v>118.6</v>
          </cell>
          <cell r="H15">
            <v>2.0799999999999999E-2</v>
          </cell>
        </row>
        <row r="16">
          <cell r="D16">
            <v>11</v>
          </cell>
          <cell r="E16">
            <v>125.5</v>
          </cell>
          <cell r="F16">
            <v>117.9</v>
          </cell>
          <cell r="H16">
            <v>2.0799999999999999E-2</v>
          </cell>
        </row>
        <row r="17">
          <cell r="D17">
            <v>12</v>
          </cell>
          <cell r="E17">
            <v>123.7</v>
          </cell>
          <cell r="F17">
            <v>110</v>
          </cell>
          <cell r="H17">
            <v>2.0799999999999999E-2</v>
          </cell>
        </row>
        <row r="18">
          <cell r="D18">
            <v>13</v>
          </cell>
          <cell r="E18">
            <v>123.1</v>
          </cell>
          <cell r="F18">
            <v>117.3</v>
          </cell>
          <cell r="H18">
            <v>2.0799999999999999E-2</v>
          </cell>
        </row>
        <row r="19">
          <cell r="D19">
            <v>14</v>
          </cell>
          <cell r="E19">
            <v>124.7</v>
          </cell>
          <cell r="F19">
            <v>118.2</v>
          </cell>
          <cell r="H19">
            <v>2.0799999999999999E-2</v>
          </cell>
        </row>
        <row r="20">
          <cell r="D20">
            <v>15</v>
          </cell>
          <cell r="E20">
            <v>125.3</v>
          </cell>
          <cell r="F20">
            <v>119.4</v>
          </cell>
          <cell r="H20">
            <v>2.0799999999999999E-2</v>
          </cell>
        </row>
        <row r="21">
          <cell r="D21">
            <v>16</v>
          </cell>
          <cell r="E21">
            <v>123.8</v>
          </cell>
          <cell r="F21">
            <v>111.6</v>
          </cell>
          <cell r="H21">
            <v>2.0799999999999999E-2</v>
          </cell>
        </row>
        <row r="22">
          <cell r="D22">
            <v>17</v>
          </cell>
          <cell r="E22">
            <v>123.8</v>
          </cell>
          <cell r="F22">
            <v>119.7</v>
          </cell>
          <cell r="H22">
            <v>2.0799999999999999E-2</v>
          </cell>
        </row>
        <row r="23">
          <cell r="D23">
            <v>18</v>
          </cell>
          <cell r="E23">
            <v>126.4</v>
          </cell>
          <cell r="F23">
            <v>112.4</v>
          </cell>
          <cell r="H23">
            <v>2.0799999999999999E-2</v>
          </cell>
        </row>
        <row r="24">
          <cell r="D24">
            <v>19</v>
          </cell>
          <cell r="E24">
            <v>126.5</v>
          </cell>
          <cell r="F24">
            <v>111.3</v>
          </cell>
          <cell r="H24">
            <v>2.0799999999999999E-2</v>
          </cell>
        </row>
        <row r="25">
          <cell r="D25">
            <v>20</v>
          </cell>
          <cell r="E25">
            <v>128.5</v>
          </cell>
          <cell r="F25">
            <v>118.1</v>
          </cell>
          <cell r="H25">
            <v>2.0799999999999999E-2</v>
          </cell>
        </row>
        <row r="26">
          <cell r="D26">
            <v>21</v>
          </cell>
          <cell r="E26">
            <v>130.5</v>
          </cell>
          <cell r="F26">
            <v>111.1</v>
          </cell>
          <cell r="H26">
            <v>2.0799999999999999E-2</v>
          </cell>
        </row>
        <row r="27">
          <cell r="D27">
            <v>22</v>
          </cell>
          <cell r="E27">
            <v>132.5</v>
          </cell>
          <cell r="F27">
            <v>112.2</v>
          </cell>
          <cell r="H27">
            <v>2.0799999999999999E-2</v>
          </cell>
        </row>
        <row r="28">
          <cell r="D28">
            <v>23</v>
          </cell>
          <cell r="E28">
            <v>134.5</v>
          </cell>
          <cell r="F28">
            <v>116.8</v>
          </cell>
          <cell r="H28">
            <v>2.0799999999999999E-2</v>
          </cell>
        </row>
        <row r="29">
          <cell r="D29">
            <v>24</v>
          </cell>
          <cell r="E29">
            <v>136.4</v>
          </cell>
          <cell r="F29">
            <v>117.8</v>
          </cell>
          <cell r="H29">
            <v>2.0799999999999999E-2</v>
          </cell>
        </row>
        <row r="30">
          <cell r="D30">
            <v>25</v>
          </cell>
          <cell r="E30">
            <v>138.4</v>
          </cell>
          <cell r="F30">
            <v>113</v>
          </cell>
          <cell r="H30">
            <v>2.0799999999999999E-2</v>
          </cell>
        </row>
        <row r="31">
          <cell r="D31">
            <v>26</v>
          </cell>
          <cell r="E31">
            <v>140.6</v>
          </cell>
          <cell r="F31">
            <v>115</v>
          </cell>
          <cell r="H31">
            <v>2.0799999999999999E-2</v>
          </cell>
        </row>
        <row r="32">
          <cell r="D32">
            <v>27</v>
          </cell>
          <cell r="E32">
            <v>142.6</v>
          </cell>
          <cell r="F32">
            <v>110.3</v>
          </cell>
          <cell r="H32">
            <v>2.0799999999999999E-2</v>
          </cell>
        </row>
        <row r="33">
          <cell r="D33">
            <v>28</v>
          </cell>
          <cell r="E33">
            <v>144.5</v>
          </cell>
          <cell r="F33">
            <v>110.2</v>
          </cell>
          <cell r="H33">
            <v>2.0799999999999999E-2</v>
          </cell>
        </row>
        <row r="34">
          <cell r="D34">
            <v>29</v>
          </cell>
          <cell r="E34">
            <v>146.5</v>
          </cell>
          <cell r="F34">
            <v>118.6</v>
          </cell>
          <cell r="H34">
            <v>2.0799999999999999E-2</v>
          </cell>
        </row>
        <row r="35">
          <cell r="D35">
            <v>30</v>
          </cell>
          <cell r="E35">
            <v>148.5</v>
          </cell>
          <cell r="F35">
            <v>115.4</v>
          </cell>
          <cell r="H35">
            <v>4.4999999999999998E-2</v>
          </cell>
        </row>
        <row r="36">
          <cell r="D36">
            <v>31</v>
          </cell>
          <cell r="E36">
            <v>150.5</v>
          </cell>
          <cell r="F36">
            <v>118.8</v>
          </cell>
          <cell r="H36">
            <v>4.4999999999999998E-2</v>
          </cell>
        </row>
        <row r="37">
          <cell r="D37">
            <v>32</v>
          </cell>
          <cell r="E37">
            <v>152.5</v>
          </cell>
          <cell r="F37">
            <v>117.2</v>
          </cell>
          <cell r="H37">
            <v>4.4999999999999998E-2</v>
          </cell>
        </row>
        <row r="38">
          <cell r="D38">
            <v>33</v>
          </cell>
          <cell r="E38">
            <v>154.4</v>
          </cell>
          <cell r="F38">
            <v>116.4</v>
          </cell>
          <cell r="H38">
            <v>4.4999999999999998E-2</v>
          </cell>
        </row>
        <row r="39">
          <cell r="D39">
            <v>34</v>
          </cell>
          <cell r="E39">
            <v>156.4</v>
          </cell>
          <cell r="F39">
            <v>116.5</v>
          </cell>
          <cell r="H39">
            <v>4.4999999999999998E-2</v>
          </cell>
        </row>
        <row r="40">
          <cell r="D40">
            <v>35</v>
          </cell>
          <cell r="E40">
            <v>158.6</v>
          </cell>
          <cell r="F40">
            <v>117.9</v>
          </cell>
          <cell r="H40">
            <v>4.4999999999999998E-2</v>
          </cell>
        </row>
        <row r="41">
          <cell r="D41">
            <v>36</v>
          </cell>
          <cell r="E41">
            <v>160.6</v>
          </cell>
          <cell r="F41">
            <v>117.1</v>
          </cell>
          <cell r="H41">
            <v>4.4999999999999998E-2</v>
          </cell>
        </row>
        <row r="42">
          <cell r="D42">
            <v>37</v>
          </cell>
          <cell r="E42">
            <v>162.5</v>
          </cell>
          <cell r="F42">
            <v>111</v>
          </cell>
          <cell r="H42">
            <v>4.4999999999999998E-2</v>
          </cell>
        </row>
        <row r="43">
          <cell r="D43">
            <v>38</v>
          </cell>
          <cell r="E43">
            <v>164.5</v>
          </cell>
          <cell r="F43">
            <v>117.3</v>
          </cell>
          <cell r="H43">
            <v>4.4999999999999998E-2</v>
          </cell>
        </row>
        <row r="44">
          <cell r="D44">
            <v>39</v>
          </cell>
          <cell r="E44">
            <v>166.5</v>
          </cell>
          <cell r="F44">
            <v>112.3</v>
          </cell>
          <cell r="H44">
            <v>4.4999999999999998E-2</v>
          </cell>
        </row>
        <row r="45">
          <cell r="D45">
            <v>40</v>
          </cell>
          <cell r="E45">
            <v>168.5</v>
          </cell>
          <cell r="F45">
            <v>119</v>
          </cell>
          <cell r="H45">
            <v>4.4999999999999998E-2</v>
          </cell>
        </row>
        <row r="46">
          <cell r="D46">
            <v>41</v>
          </cell>
          <cell r="E46">
            <v>170.5</v>
          </cell>
          <cell r="F46">
            <v>110.7</v>
          </cell>
          <cell r="H46">
            <v>4.4999999999999998E-2</v>
          </cell>
        </row>
        <row r="47">
          <cell r="D47">
            <v>42</v>
          </cell>
          <cell r="E47">
            <v>172.4</v>
          </cell>
          <cell r="F47">
            <v>116.1</v>
          </cell>
          <cell r="H47">
            <v>4.4999999999999998E-2</v>
          </cell>
        </row>
        <row r="48">
          <cell r="D48">
            <v>43</v>
          </cell>
          <cell r="E48">
            <v>174.4</v>
          </cell>
          <cell r="F48">
            <v>119.6</v>
          </cell>
          <cell r="H48">
            <v>4.4999999999999998E-2</v>
          </cell>
        </row>
        <row r="49">
          <cell r="D49">
            <v>44</v>
          </cell>
          <cell r="E49">
            <v>120.6</v>
          </cell>
          <cell r="F49">
            <v>114.4</v>
          </cell>
          <cell r="H49">
            <v>4.4999999999999998E-2</v>
          </cell>
        </row>
        <row r="50">
          <cell r="D50">
            <v>45</v>
          </cell>
          <cell r="E50">
            <v>180.5</v>
          </cell>
          <cell r="F50">
            <v>112.6</v>
          </cell>
          <cell r="H50">
            <v>4.4999999999999998E-2</v>
          </cell>
        </row>
        <row r="51">
          <cell r="D51">
            <v>46</v>
          </cell>
          <cell r="E51">
            <v>182.5</v>
          </cell>
          <cell r="F51">
            <v>115.4</v>
          </cell>
          <cell r="H51">
            <v>4.4999999999999998E-2</v>
          </cell>
        </row>
        <row r="52">
          <cell r="D52">
            <v>47</v>
          </cell>
          <cell r="E52">
            <v>184.5</v>
          </cell>
          <cell r="F52">
            <v>118.2</v>
          </cell>
          <cell r="H52">
            <v>4.4999999999999998E-2</v>
          </cell>
        </row>
        <row r="53">
          <cell r="D53">
            <v>48</v>
          </cell>
          <cell r="E53">
            <v>186.5</v>
          </cell>
          <cell r="F53">
            <v>119.8</v>
          </cell>
          <cell r="H53">
            <v>4.4999999999999998E-2</v>
          </cell>
        </row>
        <row r="54">
          <cell r="D54">
            <v>49</v>
          </cell>
          <cell r="E54">
            <v>188.5</v>
          </cell>
          <cell r="F54">
            <v>116.8</v>
          </cell>
          <cell r="H54">
            <v>4.4999999999999998E-2</v>
          </cell>
        </row>
        <row r="55">
          <cell r="D55">
            <v>50</v>
          </cell>
          <cell r="E55">
            <v>190.4</v>
          </cell>
          <cell r="F55">
            <v>113.7</v>
          </cell>
          <cell r="H55">
            <v>4.4999999999999998E-2</v>
          </cell>
        </row>
        <row r="56">
          <cell r="D56">
            <v>51</v>
          </cell>
          <cell r="E56">
            <v>192.4</v>
          </cell>
          <cell r="F56">
            <v>116.1</v>
          </cell>
          <cell r="H56">
            <v>4.4999999999999998E-2</v>
          </cell>
        </row>
        <row r="57">
          <cell r="D57">
            <v>52</v>
          </cell>
          <cell r="E57">
            <v>194.6</v>
          </cell>
          <cell r="F57">
            <v>119.2</v>
          </cell>
          <cell r="H57">
            <v>4.4999999999999998E-2</v>
          </cell>
        </row>
        <row r="58">
          <cell r="D58">
            <v>53</v>
          </cell>
          <cell r="E58">
            <v>196.6</v>
          </cell>
          <cell r="F58">
            <v>115.7</v>
          </cell>
          <cell r="H58">
            <v>4.4999999999999998E-2</v>
          </cell>
        </row>
        <row r="59">
          <cell r="D59">
            <v>54</v>
          </cell>
          <cell r="E59">
            <v>198.5</v>
          </cell>
          <cell r="F59">
            <v>114.3</v>
          </cell>
          <cell r="H59">
            <v>4.4999999999999998E-2</v>
          </cell>
        </row>
        <row r="60">
          <cell r="D60">
            <v>55</v>
          </cell>
          <cell r="E60">
            <v>200.5</v>
          </cell>
          <cell r="F60">
            <v>117.4</v>
          </cell>
          <cell r="H60">
            <v>4.4999999999999998E-2</v>
          </cell>
        </row>
        <row r="61">
          <cell r="D61">
            <v>56</v>
          </cell>
          <cell r="E61">
            <v>202.5</v>
          </cell>
          <cell r="F61">
            <v>110.8</v>
          </cell>
          <cell r="H61">
            <v>4.4999999999999998E-2</v>
          </cell>
        </row>
        <row r="62">
          <cell r="D62">
            <v>57</v>
          </cell>
          <cell r="E62">
            <v>204.5</v>
          </cell>
          <cell r="F62">
            <v>117.6</v>
          </cell>
          <cell r="H62">
            <v>4.4999999999999998E-2</v>
          </cell>
        </row>
        <row r="63">
          <cell r="D63">
            <v>58</v>
          </cell>
          <cell r="E63">
            <v>206.5</v>
          </cell>
          <cell r="F63">
            <v>114.6</v>
          </cell>
          <cell r="H63">
            <v>4.4999999999999998E-2</v>
          </cell>
        </row>
        <row r="64">
          <cell r="D64">
            <v>59</v>
          </cell>
          <cell r="E64">
            <v>208.4</v>
          </cell>
          <cell r="F64">
            <v>115.9</v>
          </cell>
          <cell r="H64">
            <v>4.4999999999999998E-2</v>
          </cell>
        </row>
        <row r="65">
          <cell r="D65">
            <v>60</v>
          </cell>
          <cell r="E65">
            <v>210.4</v>
          </cell>
          <cell r="F65">
            <v>110.6</v>
          </cell>
          <cell r="H65">
            <v>4.4999999999999998E-2</v>
          </cell>
        </row>
        <row r="66">
          <cell r="D66">
            <v>61</v>
          </cell>
          <cell r="E66">
            <v>212.6</v>
          </cell>
          <cell r="F66">
            <v>118.3</v>
          </cell>
          <cell r="H66">
            <v>4.4999999999999998E-2</v>
          </cell>
        </row>
        <row r="67">
          <cell r="D67">
            <v>62</v>
          </cell>
          <cell r="E67">
            <v>214.6</v>
          </cell>
          <cell r="F67">
            <v>114.4</v>
          </cell>
          <cell r="H67">
            <v>4.4999999999999998E-2</v>
          </cell>
        </row>
        <row r="68">
          <cell r="D68">
            <v>63</v>
          </cell>
          <cell r="E68">
            <v>216.5</v>
          </cell>
          <cell r="F68">
            <v>118.8</v>
          </cell>
          <cell r="H68">
            <v>4.4999999999999998E-2</v>
          </cell>
        </row>
        <row r="69">
          <cell r="D69">
            <v>64</v>
          </cell>
          <cell r="E69">
            <v>218.5</v>
          </cell>
          <cell r="F69">
            <v>113.9</v>
          </cell>
          <cell r="H69">
            <v>4.4999999999999998E-2</v>
          </cell>
        </row>
        <row r="70">
          <cell r="D70">
            <v>65</v>
          </cell>
          <cell r="E70">
            <v>220.5</v>
          </cell>
          <cell r="F70">
            <v>114.2</v>
          </cell>
          <cell r="H70">
            <v>4.4999999999999998E-2</v>
          </cell>
        </row>
        <row r="71">
          <cell r="D71">
            <v>66</v>
          </cell>
          <cell r="E71">
            <v>222.5</v>
          </cell>
          <cell r="F71">
            <v>109.6</v>
          </cell>
          <cell r="H71">
            <v>4.4999999999999998E-2</v>
          </cell>
        </row>
        <row r="72">
          <cell r="D72">
            <v>67</v>
          </cell>
          <cell r="E72">
            <v>224.5</v>
          </cell>
          <cell r="F72">
            <v>112.3</v>
          </cell>
          <cell r="H72">
            <v>4.4999999999999998E-2</v>
          </cell>
        </row>
        <row r="73">
          <cell r="D73">
            <v>68</v>
          </cell>
          <cell r="E73">
            <v>226.4</v>
          </cell>
          <cell r="F73">
            <v>109.4</v>
          </cell>
          <cell r="H73">
            <v>4.4999999999999998E-2</v>
          </cell>
        </row>
        <row r="74">
          <cell r="D74">
            <v>69</v>
          </cell>
          <cell r="E74">
            <v>228.4</v>
          </cell>
          <cell r="F74">
            <v>114.7</v>
          </cell>
          <cell r="H74">
            <v>4.4999999999999998E-2</v>
          </cell>
        </row>
        <row r="75">
          <cell r="D75">
            <v>70</v>
          </cell>
          <cell r="E75">
            <v>230.6</v>
          </cell>
          <cell r="F75">
            <v>114.6</v>
          </cell>
          <cell r="H75">
            <v>4.4999999999999998E-2</v>
          </cell>
        </row>
        <row r="76">
          <cell r="D76">
            <v>71</v>
          </cell>
          <cell r="E76">
            <v>232.6</v>
          </cell>
          <cell r="F76">
            <v>117.5</v>
          </cell>
          <cell r="H76">
            <v>4.4999999999999998E-2</v>
          </cell>
        </row>
        <row r="77">
          <cell r="D77">
            <v>72</v>
          </cell>
          <cell r="E77">
            <v>234.5</v>
          </cell>
          <cell r="F77">
            <v>117.8</v>
          </cell>
          <cell r="H77">
            <v>4.4999999999999998E-2</v>
          </cell>
        </row>
        <row r="78">
          <cell r="D78">
            <v>73</v>
          </cell>
          <cell r="E78">
            <v>236.5</v>
          </cell>
          <cell r="F78">
            <v>117.9</v>
          </cell>
          <cell r="H78">
            <v>4.4999999999999998E-2</v>
          </cell>
        </row>
        <row r="79">
          <cell r="D79">
            <v>74</v>
          </cell>
          <cell r="E79">
            <v>238.5</v>
          </cell>
          <cell r="F79">
            <v>108.4</v>
          </cell>
          <cell r="H79">
            <v>4.4999999999999998E-2</v>
          </cell>
        </row>
        <row r="80">
          <cell r="D80">
            <v>75</v>
          </cell>
          <cell r="E80">
            <v>240.5</v>
          </cell>
          <cell r="F80">
            <v>117.2</v>
          </cell>
          <cell r="H80">
            <v>4.4999999999999998E-2</v>
          </cell>
        </row>
        <row r="81">
          <cell r="D81">
            <v>76</v>
          </cell>
          <cell r="E81">
            <v>242.5</v>
          </cell>
          <cell r="F81">
            <v>112.8</v>
          </cell>
          <cell r="H81">
            <v>4.4999999999999998E-2</v>
          </cell>
        </row>
        <row r="82">
          <cell r="D82">
            <v>77</v>
          </cell>
          <cell r="E82">
            <v>125.6</v>
          </cell>
          <cell r="F82">
            <v>109.9</v>
          </cell>
          <cell r="H82">
            <v>4.4999999999999998E-2</v>
          </cell>
        </row>
        <row r="83">
          <cell r="D83">
            <v>78</v>
          </cell>
          <cell r="E83">
            <v>248.6</v>
          </cell>
          <cell r="F83">
            <v>110.4</v>
          </cell>
          <cell r="H83">
            <v>4.4999999999999998E-2</v>
          </cell>
        </row>
        <row r="84">
          <cell r="D84">
            <v>79</v>
          </cell>
          <cell r="E84">
            <v>250.6</v>
          </cell>
          <cell r="F84">
            <v>111.6</v>
          </cell>
          <cell r="H84">
            <v>4.4999999999999998E-2</v>
          </cell>
        </row>
        <row r="85">
          <cell r="D85">
            <v>80</v>
          </cell>
          <cell r="E85">
            <v>252.5</v>
          </cell>
          <cell r="F85">
            <v>113.5</v>
          </cell>
          <cell r="H85">
            <v>4.4999999999999998E-2</v>
          </cell>
        </row>
        <row r="86">
          <cell r="D86">
            <v>81</v>
          </cell>
          <cell r="E86">
            <v>254.5</v>
          </cell>
          <cell r="F86">
            <v>116.6</v>
          </cell>
          <cell r="H86">
            <v>4.4999999999999998E-2</v>
          </cell>
        </row>
        <row r="87">
          <cell r="D87">
            <v>82</v>
          </cell>
          <cell r="E87">
            <v>256.5</v>
          </cell>
          <cell r="F87">
            <v>106.9</v>
          </cell>
          <cell r="H87">
            <v>4.4999999999999998E-2</v>
          </cell>
        </row>
        <row r="88">
          <cell r="D88">
            <v>83</v>
          </cell>
          <cell r="E88">
            <v>258.5</v>
          </cell>
          <cell r="F88">
            <v>113.7</v>
          </cell>
          <cell r="H88">
            <v>4.4999999999999998E-2</v>
          </cell>
        </row>
        <row r="89">
          <cell r="D89">
            <v>84</v>
          </cell>
          <cell r="E89">
            <v>260.5</v>
          </cell>
          <cell r="F89">
            <v>112.6</v>
          </cell>
          <cell r="H89">
            <v>4.4999999999999998E-2</v>
          </cell>
        </row>
        <row r="90">
          <cell r="D90">
            <v>85</v>
          </cell>
          <cell r="E90">
            <v>262.39999999999998</v>
          </cell>
          <cell r="F90">
            <v>110.4</v>
          </cell>
          <cell r="H90">
            <v>4.4999999999999998E-2</v>
          </cell>
        </row>
        <row r="91">
          <cell r="D91">
            <v>86</v>
          </cell>
          <cell r="E91">
            <v>264.39999999999998</v>
          </cell>
          <cell r="F91">
            <v>111</v>
          </cell>
          <cell r="H91">
            <v>4.4999999999999998E-2</v>
          </cell>
        </row>
        <row r="92">
          <cell r="D92">
            <v>87</v>
          </cell>
          <cell r="E92">
            <v>122.8</v>
          </cell>
          <cell r="F92">
            <v>111.5</v>
          </cell>
          <cell r="H92">
            <v>4.4999999999999998E-2</v>
          </cell>
        </row>
        <row r="93">
          <cell r="D93">
            <v>88</v>
          </cell>
          <cell r="E93">
            <v>268.60000000000002</v>
          </cell>
          <cell r="F93">
            <v>107.3</v>
          </cell>
          <cell r="H93">
            <v>4.4999999999999998E-2</v>
          </cell>
        </row>
        <row r="94">
          <cell r="D94">
            <v>89</v>
          </cell>
          <cell r="E94">
            <v>270.5</v>
          </cell>
          <cell r="F94">
            <v>114.5</v>
          </cell>
          <cell r="H94">
            <v>4.4999999999999998E-2</v>
          </cell>
        </row>
        <row r="95">
          <cell r="D95">
            <v>90</v>
          </cell>
          <cell r="E95">
            <v>272.5</v>
          </cell>
          <cell r="F95">
            <v>110.7</v>
          </cell>
          <cell r="H95">
            <v>4.4999999999999998E-2</v>
          </cell>
        </row>
        <row r="96">
          <cell r="D96">
            <v>91</v>
          </cell>
          <cell r="E96">
            <v>274.5</v>
          </cell>
          <cell r="F96">
            <v>105.7</v>
          </cell>
          <cell r="H96">
            <v>4.4999999999999998E-2</v>
          </cell>
        </row>
        <row r="97">
          <cell r="D97">
            <v>92</v>
          </cell>
          <cell r="E97">
            <v>276.5</v>
          </cell>
          <cell r="F97">
            <v>104.8</v>
          </cell>
          <cell r="H97">
            <v>4.4999999999999998E-2</v>
          </cell>
        </row>
        <row r="98">
          <cell r="D98">
            <v>93</v>
          </cell>
          <cell r="E98">
            <v>278.5</v>
          </cell>
          <cell r="F98">
            <v>106.2</v>
          </cell>
          <cell r="H98">
            <v>4.4999999999999998E-2</v>
          </cell>
        </row>
        <row r="99">
          <cell r="D99">
            <v>94</v>
          </cell>
          <cell r="E99">
            <v>280.39999999999998</v>
          </cell>
          <cell r="F99">
            <v>103</v>
          </cell>
          <cell r="H99">
            <v>4.4999999999999998E-2</v>
          </cell>
        </row>
        <row r="100">
          <cell r="D100">
            <v>95</v>
          </cell>
          <cell r="E100">
            <v>282.39999999999998</v>
          </cell>
          <cell r="F100">
            <v>106.1</v>
          </cell>
          <cell r="H100">
            <v>4.4999999999999998E-2</v>
          </cell>
        </row>
        <row r="101">
          <cell r="D101">
            <v>96</v>
          </cell>
          <cell r="E101">
            <v>284.60000000000002</v>
          </cell>
          <cell r="F101">
            <v>105.3</v>
          </cell>
          <cell r="H101">
            <v>4.4999999999999998E-2</v>
          </cell>
        </row>
        <row r="102">
          <cell r="D102">
            <v>97</v>
          </cell>
          <cell r="E102">
            <v>286.60000000000002</v>
          </cell>
          <cell r="F102">
            <v>106.7</v>
          </cell>
          <cell r="H102">
            <v>4.4999999999999998E-2</v>
          </cell>
        </row>
        <row r="103">
          <cell r="D103">
            <v>98</v>
          </cell>
          <cell r="E103">
            <v>288.5</v>
          </cell>
          <cell r="F103">
            <v>102.7</v>
          </cell>
          <cell r="H103">
            <v>4.4999999999999998E-2</v>
          </cell>
        </row>
        <row r="104">
          <cell r="D104">
            <v>99</v>
          </cell>
          <cell r="E104">
            <v>290.5</v>
          </cell>
          <cell r="F104">
            <v>108.7</v>
          </cell>
          <cell r="H104">
            <v>4.4999999999999998E-2</v>
          </cell>
        </row>
        <row r="105">
          <cell r="D105">
            <v>100</v>
          </cell>
          <cell r="E105">
            <v>292.5</v>
          </cell>
          <cell r="F105">
            <v>104.7</v>
          </cell>
          <cell r="H105">
            <v>4.4999999999999998E-2</v>
          </cell>
        </row>
        <row r="106">
          <cell r="D106">
            <v>101</v>
          </cell>
          <cell r="E106">
            <v>294.5</v>
          </cell>
          <cell r="F106">
            <v>106.9</v>
          </cell>
          <cell r="H106">
            <v>4.4999999999999998E-2</v>
          </cell>
        </row>
        <row r="107">
          <cell r="D107">
            <v>102</v>
          </cell>
          <cell r="E107">
            <v>296.5</v>
          </cell>
          <cell r="F107">
            <v>102</v>
          </cell>
          <cell r="H107">
            <v>4.4999999999999998E-2</v>
          </cell>
        </row>
        <row r="108">
          <cell r="D108">
            <v>103</v>
          </cell>
          <cell r="E108">
            <v>298.39999999999998</v>
          </cell>
          <cell r="F108">
            <v>108.5</v>
          </cell>
          <cell r="H108">
            <v>4.4999999999999998E-2</v>
          </cell>
        </row>
        <row r="109">
          <cell r="D109">
            <v>104</v>
          </cell>
          <cell r="E109">
            <v>300.10000000000002</v>
          </cell>
          <cell r="F109">
            <v>107.9</v>
          </cell>
          <cell r="H109">
            <v>4.4999999999999998E-2</v>
          </cell>
        </row>
        <row r="110">
          <cell r="D110">
            <v>105</v>
          </cell>
          <cell r="E110">
            <v>300.10000000000002</v>
          </cell>
          <cell r="F110">
            <v>99.3</v>
          </cell>
          <cell r="H110">
            <v>4.4999999999999998E-2</v>
          </cell>
        </row>
        <row r="111">
          <cell r="D111">
            <v>106</v>
          </cell>
          <cell r="E111">
            <v>300.10000000000002</v>
          </cell>
          <cell r="F111">
            <v>105.1</v>
          </cell>
          <cell r="H111">
            <v>4.4999999999999998E-2</v>
          </cell>
        </row>
        <row r="112">
          <cell r="D112">
            <v>107</v>
          </cell>
          <cell r="E112">
            <v>298.10000000000002</v>
          </cell>
          <cell r="F112">
            <v>99.9</v>
          </cell>
          <cell r="H112">
            <v>4.4999999999999998E-2</v>
          </cell>
        </row>
        <row r="113">
          <cell r="D113">
            <v>108</v>
          </cell>
          <cell r="E113">
            <v>295.89999999999998</v>
          </cell>
          <cell r="F113">
            <v>100</v>
          </cell>
          <cell r="H113">
            <v>4.4999999999999998E-2</v>
          </cell>
        </row>
        <row r="114">
          <cell r="D114">
            <v>109</v>
          </cell>
          <cell r="E114">
            <v>295.89999999999998</v>
          </cell>
          <cell r="F114">
            <v>103.7</v>
          </cell>
          <cell r="H114">
            <v>4.4999999999999998E-2</v>
          </cell>
        </row>
        <row r="115">
          <cell r="D115">
            <v>110</v>
          </cell>
          <cell r="E115">
            <v>295.89999999999998</v>
          </cell>
          <cell r="F115">
            <v>96.5</v>
          </cell>
          <cell r="H115">
            <v>4.4999999999999998E-2</v>
          </cell>
        </row>
        <row r="116">
          <cell r="D116">
            <v>111</v>
          </cell>
          <cell r="E116">
            <v>295.89999999999998</v>
          </cell>
          <cell r="F116">
            <v>100.9</v>
          </cell>
          <cell r="H116">
            <v>4.4999999999999998E-2</v>
          </cell>
        </row>
        <row r="117">
          <cell r="D117">
            <v>112</v>
          </cell>
          <cell r="E117">
            <v>295.89999999999998</v>
          </cell>
          <cell r="F117">
            <v>98.5</v>
          </cell>
          <cell r="H117">
            <v>4.4999999999999998E-2</v>
          </cell>
        </row>
        <row r="118">
          <cell r="D118">
            <v>113</v>
          </cell>
          <cell r="E118">
            <v>295.89999999999998</v>
          </cell>
          <cell r="F118">
            <v>95.3</v>
          </cell>
          <cell r="H118">
            <v>4.4999999999999998E-2</v>
          </cell>
        </row>
        <row r="119">
          <cell r="D119">
            <v>114</v>
          </cell>
          <cell r="E119">
            <v>295.89999999999998</v>
          </cell>
          <cell r="F119">
            <v>97.9</v>
          </cell>
          <cell r="H119">
            <v>4.4999999999999998E-2</v>
          </cell>
        </row>
        <row r="120">
          <cell r="D120">
            <v>115</v>
          </cell>
          <cell r="E120">
            <v>295.89999999999998</v>
          </cell>
          <cell r="F120">
            <v>101.4</v>
          </cell>
          <cell r="H120">
            <v>4.4999999999999998E-2</v>
          </cell>
        </row>
        <row r="121">
          <cell r="D121">
            <v>116</v>
          </cell>
          <cell r="E121">
            <v>295.89999999999998</v>
          </cell>
          <cell r="F121">
            <v>95.1</v>
          </cell>
          <cell r="H121">
            <v>4.4999999999999998E-2</v>
          </cell>
        </row>
        <row r="122">
          <cell r="D122">
            <v>117</v>
          </cell>
          <cell r="E122">
            <v>295.89999999999998</v>
          </cell>
          <cell r="F122">
            <v>92.6</v>
          </cell>
          <cell r="H122">
            <v>4.4999999999999998E-2</v>
          </cell>
        </row>
        <row r="123">
          <cell r="D123">
            <v>118</v>
          </cell>
          <cell r="E123">
            <v>295.89999999999998</v>
          </cell>
          <cell r="F123">
            <v>98.5</v>
          </cell>
          <cell r="H123">
            <v>4.4999999999999998E-2</v>
          </cell>
        </row>
        <row r="124">
          <cell r="D124">
            <v>119</v>
          </cell>
          <cell r="E124">
            <v>295.89999999999998</v>
          </cell>
          <cell r="F124">
            <v>99.1</v>
          </cell>
          <cell r="H124">
            <v>4.4999999999999998E-2</v>
          </cell>
        </row>
        <row r="125">
          <cell r="D125">
            <v>120</v>
          </cell>
          <cell r="E125">
            <v>295.89999999999998</v>
          </cell>
          <cell r="F125">
            <v>98.5</v>
          </cell>
          <cell r="H125">
            <v>4.4999999999999998E-2</v>
          </cell>
        </row>
        <row r="126">
          <cell r="D126">
            <v>121</v>
          </cell>
          <cell r="E126">
            <v>295.89999999999998</v>
          </cell>
          <cell r="F126">
            <v>90.9</v>
          </cell>
          <cell r="H126">
            <v>4.4999999999999998E-2</v>
          </cell>
        </row>
        <row r="127">
          <cell r="D127">
            <v>122</v>
          </cell>
          <cell r="E127">
            <v>295.89999999999998</v>
          </cell>
          <cell r="F127">
            <v>94.7</v>
          </cell>
          <cell r="H127">
            <v>4.4999999999999998E-2</v>
          </cell>
        </row>
        <row r="128">
          <cell r="D128">
            <v>123</v>
          </cell>
          <cell r="E128">
            <v>295.89999999999998</v>
          </cell>
          <cell r="F128">
            <v>96.4</v>
          </cell>
          <cell r="H128">
            <v>4.4999999999999998E-2</v>
          </cell>
        </row>
        <row r="129">
          <cell r="D129">
            <v>124</v>
          </cell>
          <cell r="E129">
            <v>295.89999999999998</v>
          </cell>
          <cell r="F129">
            <v>95.6</v>
          </cell>
          <cell r="H129">
            <v>4.4999999999999998E-2</v>
          </cell>
        </row>
        <row r="130">
          <cell r="D130">
            <v>125</v>
          </cell>
          <cell r="E130">
            <v>295.89999999999998</v>
          </cell>
          <cell r="F130">
            <v>88.6</v>
          </cell>
          <cell r="H130">
            <v>4.4999999999999998E-2</v>
          </cell>
        </row>
        <row r="131">
          <cell r="D131">
            <v>126</v>
          </cell>
          <cell r="E131">
            <v>295.89999999999998</v>
          </cell>
          <cell r="F131">
            <v>92.6</v>
          </cell>
          <cell r="H131">
            <v>4.4999999999999998E-2</v>
          </cell>
        </row>
        <row r="132">
          <cell r="D132">
            <v>127</v>
          </cell>
          <cell r="E132">
            <v>295.89999999999998</v>
          </cell>
          <cell r="F132">
            <v>91.1</v>
          </cell>
          <cell r="H132">
            <v>4.4999999999999998E-2</v>
          </cell>
        </row>
        <row r="133">
          <cell r="D133">
            <v>128</v>
          </cell>
          <cell r="E133">
            <v>295.89999999999998</v>
          </cell>
          <cell r="F133">
            <v>84.8</v>
          </cell>
          <cell r="H133">
            <v>4.4999999999999998E-2</v>
          </cell>
        </row>
        <row r="134">
          <cell r="D134">
            <v>129</v>
          </cell>
          <cell r="E134">
            <v>295.89999999999998</v>
          </cell>
          <cell r="F134">
            <v>85.8</v>
          </cell>
          <cell r="H134">
            <v>4.4999999999999998E-2</v>
          </cell>
        </row>
        <row r="135">
          <cell r="D135">
            <v>130</v>
          </cell>
          <cell r="E135">
            <v>295.89999999999998</v>
          </cell>
          <cell r="F135">
            <v>85.9</v>
          </cell>
          <cell r="H135">
            <v>2.0799999999999999E-2</v>
          </cell>
        </row>
        <row r="136">
          <cell r="D136">
            <v>131</v>
          </cell>
          <cell r="E136">
            <v>295.89999999999998</v>
          </cell>
          <cell r="F136">
            <v>83</v>
          </cell>
          <cell r="H136">
            <v>2.0799999999999999E-2</v>
          </cell>
        </row>
        <row r="137">
          <cell r="D137">
            <v>132</v>
          </cell>
          <cell r="E137">
            <v>295.89999999999998</v>
          </cell>
          <cell r="F137">
            <v>84.8</v>
          </cell>
          <cell r="H137">
            <v>2.0799999999999999E-2</v>
          </cell>
        </row>
        <row r="138">
          <cell r="D138">
            <v>133</v>
          </cell>
          <cell r="E138">
            <v>295.89999999999998</v>
          </cell>
          <cell r="F138">
            <v>88.1</v>
          </cell>
          <cell r="H138">
            <v>2.0799999999999999E-2</v>
          </cell>
        </row>
        <row r="139">
          <cell r="D139">
            <v>134</v>
          </cell>
          <cell r="E139">
            <v>295.89999999999998</v>
          </cell>
          <cell r="F139">
            <v>81.900000000000006</v>
          </cell>
          <cell r="H139">
            <v>2.0799999999999999E-2</v>
          </cell>
        </row>
        <row r="140">
          <cell r="D140">
            <v>135</v>
          </cell>
          <cell r="E140">
            <v>295.89999999999998</v>
          </cell>
          <cell r="F140">
            <v>82.8</v>
          </cell>
          <cell r="H140">
            <v>2.0799999999999999E-2</v>
          </cell>
        </row>
        <row r="141">
          <cell r="D141">
            <v>136</v>
          </cell>
          <cell r="E141">
            <v>295.89999999999998</v>
          </cell>
          <cell r="F141">
            <v>84</v>
          </cell>
          <cell r="H141">
            <v>2.0799999999999999E-2</v>
          </cell>
        </row>
        <row r="142">
          <cell r="D142">
            <v>137</v>
          </cell>
          <cell r="E142">
            <v>295.89999999999998</v>
          </cell>
          <cell r="F142">
            <v>77.400000000000006</v>
          </cell>
          <cell r="H142">
            <v>2.0799999999999999E-2</v>
          </cell>
        </row>
        <row r="143">
          <cell r="D143">
            <v>138</v>
          </cell>
          <cell r="E143">
            <v>295.89999999999998</v>
          </cell>
          <cell r="F143">
            <v>83.6</v>
          </cell>
          <cell r="H143">
            <v>2.0799999999999999E-2</v>
          </cell>
        </row>
        <row r="144">
          <cell r="D144">
            <v>139</v>
          </cell>
          <cell r="E144">
            <v>295.89999999999998</v>
          </cell>
          <cell r="F144">
            <v>75.400000000000006</v>
          </cell>
          <cell r="H144">
            <v>2.0799999999999999E-2</v>
          </cell>
        </row>
        <row r="145">
          <cell r="D145">
            <v>140</v>
          </cell>
          <cell r="E145">
            <v>295.89999999999998</v>
          </cell>
          <cell r="F145">
            <v>76.3</v>
          </cell>
          <cell r="H145">
            <v>2.0799999999999999E-2</v>
          </cell>
        </row>
        <row r="146">
          <cell r="D146">
            <v>141</v>
          </cell>
          <cell r="E146">
            <v>295.89999999999998</v>
          </cell>
          <cell r="F146">
            <v>73</v>
          </cell>
          <cell r="H146">
            <v>2.0799999999999999E-2</v>
          </cell>
        </row>
        <row r="147">
          <cell r="D147">
            <v>142</v>
          </cell>
          <cell r="E147">
            <v>295.89999999999998</v>
          </cell>
          <cell r="F147">
            <v>73.2</v>
          </cell>
          <cell r="H147">
            <v>2.0799999999999999E-2</v>
          </cell>
        </row>
        <row r="148">
          <cell r="D148">
            <v>143</v>
          </cell>
          <cell r="E148">
            <v>295.89999999999998</v>
          </cell>
          <cell r="F148">
            <v>75.7</v>
          </cell>
          <cell r="H148">
            <v>2.0799999999999999E-2</v>
          </cell>
        </row>
        <row r="149">
          <cell r="D149">
            <v>144</v>
          </cell>
          <cell r="E149">
            <v>295.89999999999998</v>
          </cell>
          <cell r="F149">
            <v>72.599999999999994</v>
          </cell>
          <cell r="H149">
            <v>2.0799999999999999E-2</v>
          </cell>
        </row>
        <row r="150">
          <cell r="D150">
            <v>145</v>
          </cell>
          <cell r="E150">
            <v>295.89999999999998</v>
          </cell>
          <cell r="F150">
            <v>75.900000000000006</v>
          </cell>
          <cell r="H150">
            <v>2.0799999999999999E-2</v>
          </cell>
        </row>
        <row r="151">
          <cell r="D151">
            <v>146</v>
          </cell>
          <cell r="E151">
            <v>295.89999999999998</v>
          </cell>
          <cell r="F151">
            <v>68.5</v>
          </cell>
          <cell r="H151">
            <v>2.0799999999999999E-2</v>
          </cell>
        </row>
        <row r="152">
          <cell r="D152">
            <v>147</v>
          </cell>
          <cell r="E152">
            <v>295.89999999999998</v>
          </cell>
          <cell r="F152">
            <v>71.400000000000006</v>
          </cell>
          <cell r="H152">
            <v>2.0799999999999999E-2</v>
          </cell>
        </row>
        <row r="153">
          <cell r="D153">
            <v>148</v>
          </cell>
          <cell r="E153">
            <v>295.89999999999998</v>
          </cell>
          <cell r="F153">
            <v>67.8</v>
          </cell>
          <cell r="H153">
            <v>2.0799999999999999E-2</v>
          </cell>
        </row>
        <row r="154">
          <cell r="D154">
            <v>149</v>
          </cell>
          <cell r="E154">
            <v>295.89999999999998</v>
          </cell>
          <cell r="F154">
            <v>69.2</v>
          </cell>
          <cell r="H154">
            <v>2.0799999999999999E-2</v>
          </cell>
        </row>
        <row r="155">
          <cell r="D155">
            <v>150</v>
          </cell>
          <cell r="E155">
            <v>295.89999999999998</v>
          </cell>
          <cell r="F155">
            <v>67.599999999999994</v>
          </cell>
          <cell r="H155">
            <v>2.0799999999999999E-2</v>
          </cell>
        </row>
        <row r="156">
          <cell r="D156">
            <v>151</v>
          </cell>
          <cell r="E156">
            <v>295.89999999999998</v>
          </cell>
          <cell r="F156">
            <v>61</v>
          </cell>
          <cell r="H156">
            <v>2.0799999999999999E-2</v>
          </cell>
        </row>
        <row r="157">
          <cell r="D157">
            <v>152</v>
          </cell>
          <cell r="E157">
            <v>295.89999999999998</v>
          </cell>
          <cell r="F157">
            <v>63.9</v>
          </cell>
          <cell r="H157">
            <v>2.0799999999999999E-2</v>
          </cell>
        </row>
        <row r="158">
          <cell r="D158">
            <v>153</v>
          </cell>
          <cell r="E158">
            <v>295.89999999999998</v>
          </cell>
          <cell r="F158">
            <v>63.4</v>
          </cell>
          <cell r="H158">
            <v>2.0799999999999999E-2</v>
          </cell>
        </row>
        <row r="159">
          <cell r="D159">
            <v>154</v>
          </cell>
          <cell r="E159">
            <v>295.89999999999998</v>
          </cell>
          <cell r="F159">
            <v>63.8</v>
          </cell>
          <cell r="H159">
            <v>2.0799999999999999E-2</v>
          </cell>
        </row>
        <row r="160">
          <cell r="D160">
            <v>155</v>
          </cell>
          <cell r="E160">
            <v>295.89999999999998</v>
          </cell>
          <cell r="F160">
            <v>60.3</v>
          </cell>
          <cell r="H160">
            <v>2.0799999999999999E-2</v>
          </cell>
        </row>
        <row r="161">
          <cell r="D161">
            <v>156</v>
          </cell>
          <cell r="E161">
            <v>295.89999999999998</v>
          </cell>
          <cell r="F161">
            <v>55.3</v>
          </cell>
          <cell r="H161">
            <v>2.0799999999999999E-2</v>
          </cell>
        </row>
        <row r="162">
          <cell r="D162">
            <v>157</v>
          </cell>
          <cell r="E162">
            <v>295.89999999999998</v>
          </cell>
          <cell r="F162">
            <v>54.5</v>
          </cell>
          <cell r="H162">
            <v>2.0799999999999999E-2</v>
          </cell>
        </row>
        <row r="163">
          <cell r="D163">
            <v>158</v>
          </cell>
          <cell r="E163">
            <v>295.89999999999998</v>
          </cell>
          <cell r="F163">
            <v>59.7</v>
          </cell>
          <cell r="H163">
            <v>2.0799999999999999E-2</v>
          </cell>
        </row>
        <row r="164">
          <cell r="D164">
            <v>159</v>
          </cell>
          <cell r="E164">
            <v>295.89999999999998</v>
          </cell>
          <cell r="F164">
            <v>50.5</v>
          </cell>
          <cell r="H164">
            <v>2.0799999999999999E-2</v>
          </cell>
        </row>
        <row r="165">
          <cell r="D165">
            <v>160</v>
          </cell>
          <cell r="E165">
            <v>295.89999999999998</v>
          </cell>
          <cell r="F165">
            <v>54.9</v>
          </cell>
          <cell r="H165">
            <v>2.0799999999999999E-2</v>
          </cell>
        </row>
        <row r="166">
          <cell r="D166">
            <v>161</v>
          </cell>
          <cell r="E166">
            <v>295.89999999999998</v>
          </cell>
          <cell r="F166">
            <v>55</v>
          </cell>
          <cell r="H166">
            <v>2.0799999999999999E-2</v>
          </cell>
        </row>
        <row r="167">
          <cell r="D167">
            <v>162</v>
          </cell>
          <cell r="E167">
            <v>295.89999999999998</v>
          </cell>
          <cell r="F167">
            <v>51.8</v>
          </cell>
          <cell r="H167">
            <v>2.0799999999999999E-2</v>
          </cell>
        </row>
        <row r="168">
          <cell r="D168">
            <v>163</v>
          </cell>
          <cell r="E168">
            <v>295.89999999999998</v>
          </cell>
          <cell r="F168">
            <v>55.5</v>
          </cell>
          <cell r="H168">
            <v>2.0799999999999999E-2</v>
          </cell>
        </row>
        <row r="169">
          <cell r="D169">
            <v>164</v>
          </cell>
          <cell r="E169">
            <v>295.89999999999998</v>
          </cell>
          <cell r="F169">
            <v>53.5</v>
          </cell>
          <cell r="H169">
            <v>2.0799999999999999E-2</v>
          </cell>
        </row>
        <row r="170">
          <cell r="D170">
            <v>165</v>
          </cell>
          <cell r="E170">
            <v>295.89999999999998</v>
          </cell>
          <cell r="F170">
            <v>43.4</v>
          </cell>
          <cell r="H170">
            <v>2.0799999999999999E-2</v>
          </cell>
        </row>
        <row r="171">
          <cell r="D171">
            <v>166</v>
          </cell>
          <cell r="E171">
            <v>295.89999999999998</v>
          </cell>
          <cell r="F171">
            <v>49.6</v>
          </cell>
          <cell r="H171">
            <v>2.0799999999999999E-2</v>
          </cell>
        </row>
        <row r="172">
          <cell r="D172">
            <v>167</v>
          </cell>
          <cell r="E172">
            <v>295.89999999999998</v>
          </cell>
          <cell r="F172">
            <v>43.1</v>
          </cell>
          <cell r="H172">
            <v>2.0799999999999999E-2</v>
          </cell>
        </row>
        <row r="173">
          <cell r="D173">
            <v>168</v>
          </cell>
          <cell r="E173">
            <v>295.89999999999998</v>
          </cell>
          <cell r="F173">
            <v>48.4</v>
          </cell>
          <cell r="H173">
            <v>2.0799999999999999E-2</v>
          </cell>
        </row>
        <row r="174">
          <cell r="D174">
            <v>169</v>
          </cell>
          <cell r="E174">
            <v>295.89999999999998</v>
          </cell>
          <cell r="F174">
            <v>42.5</v>
          </cell>
          <cell r="H174">
            <v>2.0799999999999999E-2</v>
          </cell>
        </row>
        <row r="175">
          <cell r="D175">
            <v>170</v>
          </cell>
          <cell r="E175">
            <v>295.89999999999998</v>
          </cell>
          <cell r="F175">
            <v>41.4</v>
          </cell>
          <cell r="H175">
            <v>2.0799999999999999E-2</v>
          </cell>
        </row>
        <row r="176">
          <cell r="D176">
            <v>171</v>
          </cell>
          <cell r="E176">
            <v>295.89999999999998</v>
          </cell>
          <cell r="F176">
            <v>45</v>
          </cell>
          <cell r="H176">
            <v>2.0799999999999999E-2</v>
          </cell>
        </row>
        <row r="177">
          <cell r="D177">
            <v>172</v>
          </cell>
          <cell r="E177">
            <v>295.89999999999998</v>
          </cell>
          <cell r="F177">
            <v>43.2</v>
          </cell>
          <cell r="H177">
            <v>2.0799999999999999E-2</v>
          </cell>
        </row>
        <row r="178">
          <cell r="D178">
            <v>173</v>
          </cell>
          <cell r="E178">
            <v>295.89999999999998</v>
          </cell>
          <cell r="F178">
            <v>36.200000000000003</v>
          </cell>
          <cell r="H178">
            <v>2.0799999999999999E-2</v>
          </cell>
        </row>
        <row r="179">
          <cell r="D179">
            <v>174</v>
          </cell>
          <cell r="E179">
            <v>295.89999999999998</v>
          </cell>
          <cell r="F179">
            <v>34.4</v>
          </cell>
          <cell r="H179">
            <v>2.0799999999999999E-2</v>
          </cell>
        </row>
        <row r="180">
          <cell r="D180">
            <v>175</v>
          </cell>
          <cell r="E180">
            <v>295.89999999999998</v>
          </cell>
          <cell r="F180">
            <v>36.9</v>
          </cell>
          <cell r="H180">
            <v>2.0799999999999999E-2</v>
          </cell>
        </row>
        <row r="181">
          <cell r="D181">
            <v>176</v>
          </cell>
          <cell r="E181">
            <v>295.89999999999998</v>
          </cell>
          <cell r="F181">
            <v>38.299999999999997</v>
          </cell>
          <cell r="H181">
            <v>2.0799999999999999E-2</v>
          </cell>
        </row>
        <row r="182">
          <cell r="D182">
            <v>177</v>
          </cell>
          <cell r="E182">
            <v>295.89999999999998</v>
          </cell>
          <cell r="F182">
            <v>33.200000000000003</v>
          </cell>
          <cell r="H182">
            <v>2.0799999999999999E-2</v>
          </cell>
        </row>
        <row r="183">
          <cell r="D183">
            <v>178</v>
          </cell>
          <cell r="E183">
            <v>295.89999999999998</v>
          </cell>
          <cell r="F183">
            <v>32.6</v>
          </cell>
          <cell r="H183">
            <v>2.0799999999999999E-2</v>
          </cell>
        </row>
        <row r="184">
          <cell r="D184">
            <v>179</v>
          </cell>
          <cell r="E184">
            <v>295.89999999999998</v>
          </cell>
          <cell r="F184">
            <v>36.299999999999997</v>
          </cell>
          <cell r="H184">
            <v>2.0799999999999999E-2</v>
          </cell>
        </row>
        <row r="185">
          <cell r="D185">
            <v>180</v>
          </cell>
          <cell r="E185">
            <v>295.89999999999998</v>
          </cell>
          <cell r="F185">
            <v>35.6</v>
          </cell>
          <cell r="H185">
            <v>2.0799999999999999E-2</v>
          </cell>
        </row>
        <row r="186">
          <cell r="D186">
            <v>181</v>
          </cell>
          <cell r="E186">
            <v>295.89999999999998</v>
          </cell>
          <cell r="F186">
            <v>37.1</v>
          </cell>
          <cell r="H186">
            <v>2.0799999999999999E-2</v>
          </cell>
        </row>
        <row r="187">
          <cell r="D187">
            <v>182</v>
          </cell>
          <cell r="E187">
            <v>295.89999999999998</v>
          </cell>
          <cell r="F187">
            <v>36.799999999999997</v>
          </cell>
          <cell r="H187">
            <v>2.0799999999999999E-2</v>
          </cell>
        </row>
        <row r="188">
          <cell r="D188">
            <v>183</v>
          </cell>
          <cell r="E188">
            <v>295.89999999999998</v>
          </cell>
          <cell r="F188">
            <v>27.5</v>
          </cell>
          <cell r="H188">
            <v>2.0799999999999999E-2</v>
          </cell>
        </row>
        <row r="189">
          <cell r="D189">
            <v>184</v>
          </cell>
          <cell r="E189">
            <v>295.89999999999998</v>
          </cell>
          <cell r="F189">
            <v>26.4</v>
          </cell>
          <cell r="H189">
            <v>2.0799999999999999E-2</v>
          </cell>
        </row>
        <row r="190">
          <cell r="D190">
            <v>185</v>
          </cell>
          <cell r="E190">
            <v>295.89999999999998</v>
          </cell>
          <cell r="F190">
            <v>32.4</v>
          </cell>
          <cell r="H190">
            <v>2.0799999999999999E-2</v>
          </cell>
        </row>
        <row r="191">
          <cell r="D191">
            <v>186</v>
          </cell>
          <cell r="E191">
            <v>295.89999999999998</v>
          </cell>
          <cell r="F191">
            <v>26.2</v>
          </cell>
          <cell r="H191">
            <v>2.0799999999999999E-2</v>
          </cell>
        </row>
        <row r="192">
          <cell r="D192">
            <v>187</v>
          </cell>
          <cell r="E192">
            <v>295.89999999999998</v>
          </cell>
          <cell r="F192">
            <v>33.6</v>
          </cell>
          <cell r="H192">
            <v>2.0799999999999999E-2</v>
          </cell>
        </row>
        <row r="193">
          <cell r="D193">
            <v>188</v>
          </cell>
          <cell r="E193">
            <v>295.89999999999998</v>
          </cell>
          <cell r="F193">
            <v>33.1</v>
          </cell>
          <cell r="H193">
            <v>2.0799999999999999E-2</v>
          </cell>
        </row>
        <row r="194">
          <cell r="D194">
            <v>189</v>
          </cell>
          <cell r="E194">
            <v>295.89999999999998</v>
          </cell>
          <cell r="F194">
            <v>25.7</v>
          </cell>
          <cell r="H194">
            <v>2.0799999999999999E-2</v>
          </cell>
        </row>
        <row r="195">
          <cell r="D195">
            <v>190</v>
          </cell>
          <cell r="E195">
            <v>295.89999999999998</v>
          </cell>
          <cell r="F195">
            <v>30.8</v>
          </cell>
          <cell r="H195">
            <v>2.0799999999999999E-2</v>
          </cell>
        </row>
        <row r="196">
          <cell r="D196">
            <v>191</v>
          </cell>
          <cell r="E196">
            <v>295.89999999999998</v>
          </cell>
          <cell r="F196">
            <v>23.6</v>
          </cell>
          <cell r="H196">
            <v>2.0799999999999999E-2</v>
          </cell>
        </row>
        <row r="197">
          <cell r="D197">
            <v>192</v>
          </cell>
          <cell r="E197">
            <v>295.89999999999998</v>
          </cell>
          <cell r="F197">
            <v>30.7</v>
          </cell>
          <cell r="H197">
            <v>2.0799999999999999E-2</v>
          </cell>
        </row>
        <row r="198">
          <cell r="D198">
            <v>193</v>
          </cell>
          <cell r="E198">
            <v>295.89999999999998</v>
          </cell>
          <cell r="F198">
            <v>21.6</v>
          </cell>
          <cell r="H198">
            <v>2.0799999999999999E-2</v>
          </cell>
        </row>
        <row r="199">
          <cell r="D199">
            <v>194</v>
          </cell>
          <cell r="E199">
            <v>295.89999999999998</v>
          </cell>
          <cell r="F199">
            <v>21.7</v>
          </cell>
          <cell r="H199">
            <v>2.0799999999999999E-2</v>
          </cell>
        </row>
        <row r="200">
          <cell r="D200">
            <v>195</v>
          </cell>
          <cell r="E200">
            <v>295.89999999999998</v>
          </cell>
          <cell r="F200">
            <v>25.1</v>
          </cell>
          <cell r="H200">
            <v>2.0799999999999999E-2</v>
          </cell>
        </row>
        <row r="201">
          <cell r="D201">
            <v>196</v>
          </cell>
          <cell r="E201">
            <v>295.89999999999998</v>
          </cell>
          <cell r="F201">
            <v>21.1</v>
          </cell>
          <cell r="H201">
            <v>2.0799999999999999E-2</v>
          </cell>
        </row>
        <row r="202">
          <cell r="D202">
            <v>197</v>
          </cell>
          <cell r="E202">
            <v>295.89999999999998</v>
          </cell>
          <cell r="F202">
            <v>21.9</v>
          </cell>
          <cell r="H202">
            <v>2.0799999999999999E-2</v>
          </cell>
        </row>
        <row r="203">
          <cell r="D203">
            <v>198</v>
          </cell>
          <cell r="E203">
            <v>295.89999999999998</v>
          </cell>
          <cell r="F203">
            <v>23.4</v>
          </cell>
          <cell r="H203">
            <v>2.0799999999999999E-2</v>
          </cell>
        </row>
        <row r="204">
          <cell r="D204">
            <v>199</v>
          </cell>
          <cell r="E204">
            <v>295.89999999999998</v>
          </cell>
          <cell r="F204">
            <v>22.8</v>
          </cell>
          <cell r="H204">
            <v>2.0799999999999999E-2</v>
          </cell>
        </row>
        <row r="205">
          <cell r="D205">
            <v>200</v>
          </cell>
          <cell r="E205">
            <v>295.89999999999998</v>
          </cell>
          <cell r="F205">
            <v>20.6</v>
          </cell>
          <cell r="H205">
            <v>2.0799999999999999E-2</v>
          </cell>
        </row>
        <row r="206">
          <cell r="D206">
            <v>201</v>
          </cell>
          <cell r="E206">
            <v>295.89999999999998</v>
          </cell>
          <cell r="F206">
            <v>24.3</v>
          </cell>
          <cell r="H206">
            <v>2.0799999999999999E-2</v>
          </cell>
        </row>
        <row r="207">
          <cell r="D207">
            <v>202</v>
          </cell>
          <cell r="E207">
            <v>295.89999999999998</v>
          </cell>
          <cell r="F207">
            <v>19</v>
          </cell>
          <cell r="H207">
            <v>2.0799999999999999E-2</v>
          </cell>
        </row>
        <row r="208">
          <cell r="D208">
            <v>203</v>
          </cell>
          <cell r="E208">
            <v>295.89999999999998</v>
          </cell>
          <cell r="F208">
            <v>26.1</v>
          </cell>
          <cell r="H208">
            <v>2.0799999999999999E-2</v>
          </cell>
        </row>
        <row r="209">
          <cell r="D209">
            <v>204</v>
          </cell>
          <cell r="E209">
            <v>295.89999999999998</v>
          </cell>
          <cell r="F209">
            <v>25.2</v>
          </cell>
          <cell r="H209">
            <v>2.0799999999999999E-2</v>
          </cell>
        </row>
        <row r="210">
          <cell r="D210">
            <v>205</v>
          </cell>
          <cell r="E210">
            <v>295.89999999999998</v>
          </cell>
          <cell r="F210">
            <v>25.5</v>
          </cell>
          <cell r="H210">
            <v>2.0799999999999999E-2</v>
          </cell>
        </row>
        <row r="211">
          <cell r="D211">
            <v>206</v>
          </cell>
          <cell r="E211">
            <v>295.89999999999998</v>
          </cell>
          <cell r="F211">
            <v>22.1</v>
          </cell>
          <cell r="H211">
            <v>2.0799999999999999E-2</v>
          </cell>
        </row>
        <row r="212">
          <cell r="D212">
            <v>207</v>
          </cell>
          <cell r="E212">
            <v>295.89999999999998</v>
          </cell>
          <cell r="F212">
            <v>22.6</v>
          </cell>
          <cell r="H212">
            <v>2.0799999999999999E-2</v>
          </cell>
        </row>
        <row r="213">
          <cell r="D213">
            <v>208</v>
          </cell>
          <cell r="E213">
            <v>295.89999999999998</v>
          </cell>
          <cell r="F213">
            <v>19.899999999999999</v>
          </cell>
          <cell r="H213">
            <v>2.0799999999999999E-2</v>
          </cell>
        </row>
        <row r="214">
          <cell r="D214">
            <v>209</v>
          </cell>
          <cell r="E214">
            <v>295.89999999999998</v>
          </cell>
          <cell r="F214">
            <v>25.3</v>
          </cell>
          <cell r="H214">
            <v>2.0799999999999999E-2</v>
          </cell>
        </row>
        <row r="215">
          <cell r="D215">
            <v>210</v>
          </cell>
          <cell r="E215">
            <v>295.89999999999998</v>
          </cell>
          <cell r="F215">
            <v>19</v>
          </cell>
          <cell r="H215">
            <v>2.0799999999999999E-2</v>
          </cell>
        </row>
        <row r="216">
          <cell r="D216">
            <v>211</v>
          </cell>
          <cell r="E216">
            <v>295.89999999999998</v>
          </cell>
          <cell r="F216">
            <v>17.7</v>
          </cell>
          <cell r="H216">
            <v>2.0799999999999999E-2</v>
          </cell>
        </row>
        <row r="217">
          <cell r="D217">
            <v>212</v>
          </cell>
          <cell r="E217">
            <v>295.89999999999998</v>
          </cell>
          <cell r="F217">
            <v>18.5</v>
          </cell>
          <cell r="H217">
            <v>2.0799999999999999E-2</v>
          </cell>
        </row>
        <row r="218">
          <cell r="D218">
            <v>213</v>
          </cell>
          <cell r="E218">
            <v>295.89999999999998</v>
          </cell>
          <cell r="F218">
            <v>22.5</v>
          </cell>
          <cell r="H218">
            <v>2.0799999999999999E-2</v>
          </cell>
        </row>
        <row r="219">
          <cell r="D219">
            <v>214</v>
          </cell>
          <cell r="E219">
            <v>295.89999999999998</v>
          </cell>
          <cell r="F219">
            <v>17</v>
          </cell>
          <cell r="H219">
            <v>2.0799999999999999E-2</v>
          </cell>
        </row>
        <row r="220">
          <cell r="D220">
            <v>215</v>
          </cell>
          <cell r="E220">
            <v>295.89999999999998</v>
          </cell>
          <cell r="F220">
            <v>21.4</v>
          </cell>
          <cell r="H220">
            <v>2.0799999999999999E-2</v>
          </cell>
        </row>
        <row r="221">
          <cell r="D221">
            <v>216</v>
          </cell>
          <cell r="E221">
            <v>295.89999999999998</v>
          </cell>
          <cell r="F221">
            <v>22.9</v>
          </cell>
          <cell r="H221">
            <v>2.0799999999999999E-2</v>
          </cell>
        </row>
        <row r="222">
          <cell r="D222">
            <v>217</v>
          </cell>
          <cell r="E222">
            <v>295.89999999999998</v>
          </cell>
          <cell r="F222">
            <v>14.3</v>
          </cell>
          <cell r="H222">
            <v>2.0799999999999999E-2</v>
          </cell>
        </row>
        <row r="223">
          <cell r="D223">
            <v>218</v>
          </cell>
          <cell r="E223">
            <v>295.89999999999998</v>
          </cell>
          <cell r="F223">
            <v>18.3</v>
          </cell>
          <cell r="H223">
            <v>2.0799999999999999E-2</v>
          </cell>
        </row>
        <row r="224">
          <cell r="D224">
            <v>219</v>
          </cell>
          <cell r="E224">
            <v>295.89999999999998</v>
          </cell>
          <cell r="F224">
            <v>21.5</v>
          </cell>
          <cell r="H224">
            <v>2.0799999999999999E-2</v>
          </cell>
        </row>
        <row r="225">
          <cell r="D225">
            <v>220</v>
          </cell>
          <cell r="E225">
            <v>295.89999999999998</v>
          </cell>
          <cell r="F225">
            <v>22.5</v>
          </cell>
          <cell r="H225">
            <v>2.0799999999999999E-2</v>
          </cell>
        </row>
        <row r="226">
          <cell r="D226">
            <v>221</v>
          </cell>
          <cell r="E226">
            <v>295.89999999999998</v>
          </cell>
          <cell r="F226">
            <v>21.2</v>
          </cell>
          <cell r="H226">
            <v>2.0799999999999999E-2</v>
          </cell>
        </row>
        <row r="227">
          <cell r="D227">
            <v>222</v>
          </cell>
          <cell r="E227">
            <v>295.89999999999998</v>
          </cell>
          <cell r="F227">
            <v>15.6</v>
          </cell>
          <cell r="H227">
            <v>2.0799999999999999E-2</v>
          </cell>
        </row>
        <row r="228">
          <cell r="D228">
            <v>223</v>
          </cell>
          <cell r="E228">
            <v>295.89999999999998</v>
          </cell>
          <cell r="F228">
            <v>15.4</v>
          </cell>
          <cell r="H228">
            <v>2.0799999999999999E-2</v>
          </cell>
        </row>
        <row r="229">
          <cell r="D229">
            <v>224</v>
          </cell>
          <cell r="E229">
            <v>295.89999999999998</v>
          </cell>
          <cell r="F229">
            <v>21.9</v>
          </cell>
          <cell r="H229">
            <v>2.0799999999999999E-2</v>
          </cell>
        </row>
        <row r="230">
          <cell r="D230">
            <v>225</v>
          </cell>
          <cell r="E230">
            <v>295.89999999999998</v>
          </cell>
          <cell r="F230">
            <v>18.5</v>
          </cell>
          <cell r="H230">
            <v>2.0799999999999999E-2</v>
          </cell>
        </row>
        <row r="231">
          <cell r="D231">
            <v>226</v>
          </cell>
          <cell r="E231">
            <v>295.89999999999998</v>
          </cell>
          <cell r="F231">
            <v>14</v>
          </cell>
          <cell r="H231">
            <v>2.0799999999999999E-2</v>
          </cell>
        </row>
        <row r="232">
          <cell r="D232">
            <v>227</v>
          </cell>
          <cell r="E232">
            <v>295.89999999999998</v>
          </cell>
          <cell r="F232">
            <v>16.3</v>
          </cell>
          <cell r="H232">
            <v>2.0799999999999999E-2</v>
          </cell>
        </row>
        <row r="233">
          <cell r="D233">
            <v>228</v>
          </cell>
          <cell r="E233">
            <v>295.89999999999998</v>
          </cell>
          <cell r="F233">
            <v>19.600000000000001</v>
          </cell>
          <cell r="H233">
            <v>2.0799999999999999E-2</v>
          </cell>
        </row>
        <row r="234">
          <cell r="D234">
            <v>229</v>
          </cell>
          <cell r="E234">
            <v>295.89999999999998</v>
          </cell>
          <cell r="F234">
            <v>13.2</v>
          </cell>
          <cell r="H234">
            <v>2.0799999999999999E-2</v>
          </cell>
        </row>
        <row r="235">
          <cell r="D235">
            <v>230</v>
          </cell>
          <cell r="E235">
            <v>295.89999999999998</v>
          </cell>
          <cell r="F235">
            <v>14.8</v>
          </cell>
          <cell r="H235">
            <v>2.0799999999999999E-2</v>
          </cell>
        </row>
        <row r="236">
          <cell r="D236">
            <v>231</v>
          </cell>
          <cell r="E236">
            <v>295.89999999999998</v>
          </cell>
          <cell r="F236">
            <v>18.399999999999999</v>
          </cell>
          <cell r="H236">
            <v>2.0799999999999999E-2</v>
          </cell>
        </row>
        <row r="237">
          <cell r="D237">
            <v>232</v>
          </cell>
          <cell r="E237">
            <v>295.89999999999998</v>
          </cell>
          <cell r="F237">
            <v>17.399999999999999</v>
          </cell>
          <cell r="H237">
            <v>2.0799999999999999E-2</v>
          </cell>
        </row>
        <row r="238">
          <cell r="D238">
            <v>233</v>
          </cell>
          <cell r="E238">
            <v>295.89999999999998</v>
          </cell>
          <cell r="F238">
            <v>13.4</v>
          </cell>
          <cell r="H238">
            <v>2.0799999999999999E-2</v>
          </cell>
        </row>
        <row r="239">
          <cell r="D239">
            <v>234</v>
          </cell>
          <cell r="E239">
            <v>295.89999999999998</v>
          </cell>
          <cell r="F239">
            <v>17.8</v>
          </cell>
          <cell r="H239">
            <v>2.0799999999999999E-2</v>
          </cell>
        </row>
        <row r="240">
          <cell r="D240">
            <v>235</v>
          </cell>
          <cell r="E240">
            <v>295.89999999999998</v>
          </cell>
          <cell r="F240">
            <v>21.1</v>
          </cell>
          <cell r="H240">
            <v>2.0799999999999999E-2</v>
          </cell>
        </row>
        <row r="241">
          <cell r="D241">
            <v>236</v>
          </cell>
          <cell r="E241">
            <v>295.89999999999998</v>
          </cell>
          <cell r="F241">
            <v>20.5</v>
          </cell>
          <cell r="H241">
            <v>2.0799999999999999E-2</v>
          </cell>
        </row>
        <row r="242">
          <cell r="D242">
            <v>237</v>
          </cell>
          <cell r="E242">
            <v>295.89999999999998</v>
          </cell>
          <cell r="F242">
            <v>19.2</v>
          </cell>
          <cell r="H242">
            <v>2.0799999999999999E-2</v>
          </cell>
        </row>
        <row r="243">
          <cell r="D243">
            <v>238</v>
          </cell>
          <cell r="E243">
            <v>295.89999999999998</v>
          </cell>
          <cell r="F243">
            <v>17.100000000000001</v>
          </cell>
          <cell r="H243">
            <v>2.0799999999999999E-2</v>
          </cell>
        </row>
        <row r="244">
          <cell r="D244">
            <v>239</v>
          </cell>
          <cell r="E244">
            <v>295.89999999999998</v>
          </cell>
          <cell r="F244">
            <v>19.3</v>
          </cell>
          <cell r="H244">
            <v>2.0799999999999999E-2</v>
          </cell>
        </row>
        <row r="245">
          <cell r="D245">
            <v>240</v>
          </cell>
          <cell r="E245">
            <v>295.89999999999998</v>
          </cell>
          <cell r="F245">
            <v>12.5</v>
          </cell>
          <cell r="H245">
            <v>2.0799999999999999E-2</v>
          </cell>
        </row>
        <row r="246">
          <cell r="D246">
            <v>241</v>
          </cell>
          <cell r="E246">
            <v>295.89999999999998</v>
          </cell>
          <cell r="F246">
            <v>20.6</v>
          </cell>
          <cell r="H246">
            <v>2.0799999999999999E-2</v>
          </cell>
        </row>
        <row r="247">
          <cell r="D247">
            <v>242</v>
          </cell>
          <cell r="E247">
            <v>295.89999999999998</v>
          </cell>
          <cell r="F247">
            <v>15.2</v>
          </cell>
          <cell r="H247">
            <v>2.0799999999999999E-2</v>
          </cell>
        </row>
        <row r="248">
          <cell r="D248">
            <v>243</v>
          </cell>
          <cell r="E248">
            <v>295.89999999999998</v>
          </cell>
          <cell r="F248">
            <v>17.8</v>
          </cell>
          <cell r="H248">
            <v>2.0799999999999999E-2</v>
          </cell>
        </row>
        <row r="249">
          <cell r="D249">
            <v>244</v>
          </cell>
          <cell r="E249">
            <v>295.89999999999998</v>
          </cell>
          <cell r="F249">
            <v>20.6</v>
          </cell>
          <cell r="H249">
            <v>2.0799999999999999E-2</v>
          </cell>
        </row>
        <row r="250">
          <cell r="D250">
            <v>245</v>
          </cell>
          <cell r="E250">
            <v>295.89999999999998</v>
          </cell>
          <cell r="F250">
            <v>21.5</v>
          </cell>
          <cell r="H250">
            <v>2.0799999999999999E-2</v>
          </cell>
        </row>
        <row r="251">
          <cell r="D251">
            <v>246</v>
          </cell>
          <cell r="E251">
            <v>295.89999999999998</v>
          </cell>
          <cell r="F251">
            <v>21.5</v>
          </cell>
          <cell r="H251">
            <v>2.0799999999999999E-2</v>
          </cell>
        </row>
        <row r="252">
          <cell r="D252">
            <v>247</v>
          </cell>
          <cell r="E252">
            <v>295.89999999999998</v>
          </cell>
          <cell r="F252">
            <v>21.2</v>
          </cell>
          <cell r="H252">
            <v>2.0799999999999999E-2</v>
          </cell>
        </row>
        <row r="253">
          <cell r="D253">
            <v>248</v>
          </cell>
          <cell r="E253">
            <v>295.89999999999998</v>
          </cell>
          <cell r="F253">
            <v>19.3</v>
          </cell>
          <cell r="H253">
            <v>2.0799999999999999E-2</v>
          </cell>
        </row>
        <row r="254">
          <cell r="D254">
            <v>249</v>
          </cell>
          <cell r="E254">
            <v>295.89999999999998</v>
          </cell>
          <cell r="F254">
            <v>14.3</v>
          </cell>
          <cell r="H254">
            <v>2.0799999999999999E-2</v>
          </cell>
        </row>
      </sheetData>
      <sheetData sheetId="4">
        <row r="4">
          <cell r="E4" t="str">
            <v>CGM_reading</v>
          </cell>
          <cell r="F4" t="str">
            <v>Paitent_glucose</v>
          </cell>
          <cell r="H4" t="str">
            <v>insulin</v>
          </cell>
        </row>
        <row r="5">
          <cell r="D5">
            <v>0</v>
          </cell>
          <cell r="E5">
            <v>121.1</v>
          </cell>
          <cell r="F5">
            <v>119.8</v>
          </cell>
          <cell r="H5">
            <v>2.0799999999999999E-2</v>
          </cell>
        </row>
        <row r="6">
          <cell r="D6">
            <v>1</v>
          </cell>
          <cell r="E6">
            <v>121.1</v>
          </cell>
          <cell r="F6">
            <v>117.6</v>
          </cell>
          <cell r="H6">
            <v>2.0799999999999999E-2</v>
          </cell>
        </row>
        <row r="7">
          <cell r="D7">
            <v>2</v>
          </cell>
          <cell r="E7">
            <v>121.5</v>
          </cell>
          <cell r="F7">
            <v>119.1</v>
          </cell>
          <cell r="H7">
            <v>2.0799999999999999E-2</v>
          </cell>
        </row>
        <row r="8">
          <cell r="D8">
            <v>3</v>
          </cell>
          <cell r="E8">
            <v>122.2</v>
          </cell>
          <cell r="F8">
            <v>119.1</v>
          </cell>
          <cell r="H8">
            <v>2.0799999999999999E-2</v>
          </cell>
        </row>
        <row r="9">
          <cell r="D9">
            <v>4</v>
          </cell>
          <cell r="E9">
            <v>122.6</v>
          </cell>
          <cell r="F9">
            <v>116.3</v>
          </cell>
          <cell r="H9">
            <v>2.0799999999999999E-2</v>
          </cell>
        </row>
        <row r="10">
          <cell r="D10">
            <v>5</v>
          </cell>
          <cell r="E10">
            <v>122.9</v>
          </cell>
          <cell r="F10">
            <v>112.3</v>
          </cell>
          <cell r="H10">
            <v>2.0799999999999999E-2</v>
          </cell>
        </row>
        <row r="11">
          <cell r="D11">
            <v>6</v>
          </cell>
          <cell r="E11">
            <v>124.4</v>
          </cell>
          <cell r="F11">
            <v>118</v>
          </cell>
          <cell r="H11">
            <v>2.0799999999999999E-2</v>
          </cell>
        </row>
        <row r="12">
          <cell r="D12">
            <v>7</v>
          </cell>
          <cell r="E12">
            <v>124.2</v>
          </cell>
          <cell r="F12">
            <v>114</v>
          </cell>
          <cell r="H12">
            <v>2.0799999999999999E-2</v>
          </cell>
        </row>
        <row r="13">
          <cell r="D13">
            <v>8</v>
          </cell>
          <cell r="E13">
            <v>122.9</v>
          </cell>
          <cell r="F13">
            <v>118.2</v>
          </cell>
          <cell r="H13">
            <v>2.0799999999999999E-2</v>
          </cell>
        </row>
        <row r="14">
          <cell r="D14">
            <v>9</v>
          </cell>
          <cell r="E14">
            <v>122.2</v>
          </cell>
          <cell r="F14">
            <v>115.7</v>
          </cell>
          <cell r="H14">
            <v>2.0799999999999999E-2</v>
          </cell>
        </row>
        <row r="15">
          <cell r="D15">
            <v>10</v>
          </cell>
          <cell r="E15">
            <v>121.5</v>
          </cell>
          <cell r="F15">
            <v>110.6</v>
          </cell>
          <cell r="H15">
            <v>2.0799999999999999E-2</v>
          </cell>
        </row>
        <row r="16">
          <cell r="D16">
            <v>11</v>
          </cell>
          <cell r="E16">
            <v>124</v>
          </cell>
          <cell r="F16">
            <v>116.5</v>
          </cell>
          <cell r="H16">
            <v>2.0799999999999999E-2</v>
          </cell>
        </row>
        <row r="17">
          <cell r="D17">
            <v>12</v>
          </cell>
          <cell r="E17">
            <v>126</v>
          </cell>
          <cell r="F17">
            <v>111.3</v>
          </cell>
          <cell r="H17">
            <v>2.0799999999999999E-2</v>
          </cell>
        </row>
        <row r="18">
          <cell r="D18">
            <v>13</v>
          </cell>
          <cell r="E18">
            <v>128</v>
          </cell>
          <cell r="F18">
            <v>111.6</v>
          </cell>
          <cell r="H18">
            <v>2.0799999999999999E-2</v>
          </cell>
        </row>
        <row r="19">
          <cell r="D19">
            <v>14</v>
          </cell>
          <cell r="E19">
            <v>130</v>
          </cell>
          <cell r="F19">
            <v>113.6</v>
          </cell>
          <cell r="H19">
            <v>2.0799999999999999E-2</v>
          </cell>
        </row>
        <row r="20">
          <cell r="D20">
            <v>15</v>
          </cell>
          <cell r="E20">
            <v>131.9</v>
          </cell>
          <cell r="F20">
            <v>117.6</v>
          </cell>
          <cell r="H20">
            <v>2.0799999999999999E-2</v>
          </cell>
        </row>
        <row r="21">
          <cell r="D21">
            <v>16</v>
          </cell>
          <cell r="E21">
            <v>119.7</v>
          </cell>
          <cell r="F21">
            <v>118.3</v>
          </cell>
          <cell r="H21">
            <v>2.0799999999999999E-2</v>
          </cell>
        </row>
        <row r="22">
          <cell r="D22">
            <v>17</v>
          </cell>
          <cell r="E22">
            <v>136.1</v>
          </cell>
          <cell r="F22">
            <v>111</v>
          </cell>
          <cell r="H22">
            <v>2.0799999999999999E-2</v>
          </cell>
        </row>
        <row r="23">
          <cell r="D23">
            <v>18</v>
          </cell>
          <cell r="E23">
            <v>138.1</v>
          </cell>
          <cell r="F23">
            <v>112.1</v>
          </cell>
          <cell r="H23">
            <v>2.0799999999999999E-2</v>
          </cell>
        </row>
        <row r="24">
          <cell r="D24">
            <v>19</v>
          </cell>
          <cell r="E24">
            <v>140</v>
          </cell>
          <cell r="F24">
            <v>118.1</v>
          </cell>
          <cell r="H24">
            <v>2.0799999999999999E-2</v>
          </cell>
        </row>
        <row r="25">
          <cell r="D25">
            <v>20</v>
          </cell>
          <cell r="E25">
            <v>142</v>
          </cell>
          <cell r="F25">
            <v>113.3</v>
          </cell>
          <cell r="H25">
            <v>2.0799999999999999E-2</v>
          </cell>
        </row>
        <row r="26">
          <cell r="D26">
            <v>21</v>
          </cell>
          <cell r="E26">
            <v>144</v>
          </cell>
          <cell r="F26">
            <v>118</v>
          </cell>
          <cell r="H26">
            <v>2.0799999999999999E-2</v>
          </cell>
        </row>
        <row r="27">
          <cell r="D27">
            <v>22</v>
          </cell>
          <cell r="E27">
            <v>146</v>
          </cell>
          <cell r="F27">
            <v>119.1</v>
          </cell>
          <cell r="H27">
            <v>2.0799999999999999E-2</v>
          </cell>
        </row>
        <row r="28">
          <cell r="D28">
            <v>23</v>
          </cell>
          <cell r="E28">
            <v>148</v>
          </cell>
          <cell r="F28">
            <v>113</v>
          </cell>
          <cell r="H28">
            <v>2.0799999999999999E-2</v>
          </cell>
        </row>
        <row r="29">
          <cell r="D29">
            <v>24</v>
          </cell>
          <cell r="E29">
            <v>149.9</v>
          </cell>
          <cell r="F29">
            <v>117.4</v>
          </cell>
          <cell r="H29">
            <v>2.0799999999999999E-2</v>
          </cell>
        </row>
        <row r="30">
          <cell r="D30">
            <v>25</v>
          </cell>
          <cell r="E30">
            <v>151.9</v>
          </cell>
          <cell r="F30">
            <v>114</v>
          </cell>
          <cell r="H30">
            <v>4.4999999999999998E-2</v>
          </cell>
        </row>
        <row r="31">
          <cell r="D31">
            <v>26</v>
          </cell>
          <cell r="E31">
            <v>154.1</v>
          </cell>
          <cell r="F31">
            <v>118</v>
          </cell>
          <cell r="H31">
            <v>4.4999999999999998E-2</v>
          </cell>
        </row>
        <row r="32">
          <cell r="D32">
            <v>27</v>
          </cell>
          <cell r="E32">
            <v>122.6</v>
          </cell>
          <cell r="F32">
            <v>111.1</v>
          </cell>
          <cell r="H32">
            <v>4.4999999999999998E-2</v>
          </cell>
        </row>
        <row r="33">
          <cell r="D33">
            <v>28</v>
          </cell>
          <cell r="E33">
            <v>160</v>
          </cell>
          <cell r="F33">
            <v>115.2</v>
          </cell>
          <cell r="H33">
            <v>4.4999999999999998E-2</v>
          </cell>
        </row>
        <row r="34">
          <cell r="D34">
            <v>29</v>
          </cell>
          <cell r="E34">
            <v>162</v>
          </cell>
          <cell r="F34">
            <v>116.7</v>
          </cell>
          <cell r="H34">
            <v>4.4999999999999998E-2</v>
          </cell>
        </row>
        <row r="35">
          <cell r="D35">
            <v>30</v>
          </cell>
          <cell r="E35">
            <v>164</v>
          </cell>
          <cell r="F35">
            <v>110.8</v>
          </cell>
          <cell r="H35">
            <v>4.4999999999999998E-2</v>
          </cell>
        </row>
        <row r="36">
          <cell r="D36">
            <v>31</v>
          </cell>
          <cell r="E36">
            <v>166</v>
          </cell>
          <cell r="F36">
            <v>117</v>
          </cell>
          <cell r="H36">
            <v>4.4999999999999998E-2</v>
          </cell>
        </row>
        <row r="37">
          <cell r="D37">
            <v>32</v>
          </cell>
          <cell r="E37">
            <v>167.9</v>
          </cell>
          <cell r="F37">
            <v>115</v>
          </cell>
          <cell r="H37">
            <v>4.4999999999999998E-2</v>
          </cell>
        </row>
        <row r="38">
          <cell r="D38">
            <v>33</v>
          </cell>
          <cell r="E38">
            <v>169.9</v>
          </cell>
          <cell r="F38">
            <v>116.1</v>
          </cell>
          <cell r="H38">
            <v>4.4999999999999998E-2</v>
          </cell>
        </row>
        <row r="39">
          <cell r="D39">
            <v>34</v>
          </cell>
          <cell r="E39">
            <v>172.1</v>
          </cell>
          <cell r="F39">
            <v>116</v>
          </cell>
          <cell r="H39">
            <v>4.4999999999999998E-2</v>
          </cell>
        </row>
        <row r="40">
          <cell r="D40">
            <v>35</v>
          </cell>
          <cell r="E40">
            <v>174.1</v>
          </cell>
          <cell r="F40">
            <v>111</v>
          </cell>
          <cell r="H40">
            <v>4.4999999999999998E-2</v>
          </cell>
        </row>
        <row r="41">
          <cell r="D41">
            <v>36</v>
          </cell>
          <cell r="E41">
            <v>176</v>
          </cell>
          <cell r="F41">
            <v>115</v>
          </cell>
          <cell r="H41">
            <v>4.4999999999999998E-2</v>
          </cell>
        </row>
        <row r="42">
          <cell r="D42">
            <v>37</v>
          </cell>
          <cell r="E42">
            <v>178</v>
          </cell>
          <cell r="F42">
            <v>111.4</v>
          </cell>
          <cell r="H42">
            <v>4.4999999999999998E-2</v>
          </cell>
        </row>
        <row r="43">
          <cell r="D43">
            <v>38</v>
          </cell>
          <cell r="E43">
            <v>180</v>
          </cell>
          <cell r="F43">
            <v>111.8</v>
          </cell>
          <cell r="H43">
            <v>4.4999999999999998E-2</v>
          </cell>
        </row>
        <row r="44">
          <cell r="D44">
            <v>39</v>
          </cell>
          <cell r="E44">
            <v>182</v>
          </cell>
          <cell r="F44">
            <v>118.6</v>
          </cell>
          <cell r="H44">
            <v>4.4999999999999998E-2</v>
          </cell>
        </row>
        <row r="45">
          <cell r="D45">
            <v>40</v>
          </cell>
          <cell r="E45">
            <v>184</v>
          </cell>
          <cell r="F45">
            <v>113.1</v>
          </cell>
          <cell r="H45">
            <v>4.4999999999999998E-2</v>
          </cell>
        </row>
        <row r="46">
          <cell r="D46">
            <v>41</v>
          </cell>
          <cell r="E46">
            <v>185.9</v>
          </cell>
          <cell r="F46">
            <v>114.5</v>
          </cell>
          <cell r="H46">
            <v>4.4999999999999998E-2</v>
          </cell>
        </row>
        <row r="47">
          <cell r="D47">
            <v>42</v>
          </cell>
          <cell r="E47">
            <v>187.9</v>
          </cell>
          <cell r="F47">
            <v>116.3</v>
          </cell>
          <cell r="H47">
            <v>4.4999999999999998E-2</v>
          </cell>
        </row>
        <row r="48">
          <cell r="D48">
            <v>43</v>
          </cell>
          <cell r="E48">
            <v>190.1</v>
          </cell>
          <cell r="F48">
            <v>116.7</v>
          </cell>
          <cell r="H48">
            <v>4.4999999999999998E-2</v>
          </cell>
        </row>
        <row r="49">
          <cell r="D49">
            <v>44</v>
          </cell>
          <cell r="E49">
            <v>192.1</v>
          </cell>
          <cell r="F49">
            <v>115.2</v>
          </cell>
          <cell r="H49">
            <v>4.4999999999999998E-2</v>
          </cell>
        </row>
        <row r="50">
          <cell r="D50">
            <v>45</v>
          </cell>
          <cell r="E50">
            <v>194</v>
          </cell>
          <cell r="F50">
            <v>119.3</v>
          </cell>
          <cell r="H50">
            <v>4.4999999999999998E-2</v>
          </cell>
        </row>
        <row r="51">
          <cell r="D51">
            <v>46</v>
          </cell>
          <cell r="E51">
            <v>196</v>
          </cell>
          <cell r="F51">
            <v>113.4</v>
          </cell>
          <cell r="H51">
            <v>4.4999999999999998E-2</v>
          </cell>
        </row>
        <row r="52">
          <cell r="D52">
            <v>47</v>
          </cell>
          <cell r="E52">
            <v>198</v>
          </cell>
          <cell r="F52">
            <v>113.1</v>
          </cell>
          <cell r="H52">
            <v>4.4999999999999998E-2</v>
          </cell>
        </row>
        <row r="53">
          <cell r="D53">
            <v>48</v>
          </cell>
          <cell r="E53">
            <v>200</v>
          </cell>
          <cell r="F53">
            <v>112.7</v>
          </cell>
          <cell r="H53">
            <v>4.4999999999999998E-2</v>
          </cell>
        </row>
        <row r="54">
          <cell r="D54">
            <v>49</v>
          </cell>
          <cell r="E54">
            <v>200</v>
          </cell>
          <cell r="F54">
            <v>117.1</v>
          </cell>
          <cell r="H54">
            <v>4.4999999999999998E-2</v>
          </cell>
        </row>
        <row r="55">
          <cell r="D55">
            <v>50</v>
          </cell>
          <cell r="E55">
            <v>200</v>
          </cell>
          <cell r="F55">
            <v>119.5</v>
          </cell>
          <cell r="H55">
            <v>4.4999999999999998E-2</v>
          </cell>
        </row>
        <row r="56">
          <cell r="D56">
            <v>51</v>
          </cell>
          <cell r="E56">
            <v>198</v>
          </cell>
          <cell r="F56">
            <v>116.3</v>
          </cell>
          <cell r="H56">
            <v>4.4999999999999998E-2</v>
          </cell>
        </row>
        <row r="57">
          <cell r="D57">
            <v>52</v>
          </cell>
          <cell r="E57">
            <v>120.2</v>
          </cell>
          <cell r="F57">
            <v>109.9</v>
          </cell>
          <cell r="H57">
            <v>4.4999999999999998E-2</v>
          </cell>
        </row>
        <row r="58">
          <cell r="D58">
            <v>53</v>
          </cell>
          <cell r="E58">
            <v>121.5</v>
          </cell>
          <cell r="F58">
            <v>114.4</v>
          </cell>
          <cell r="H58">
            <v>4.4999999999999998E-2</v>
          </cell>
        </row>
        <row r="59">
          <cell r="D59">
            <v>54</v>
          </cell>
          <cell r="E59">
            <v>122.6</v>
          </cell>
          <cell r="F59">
            <v>113.1</v>
          </cell>
          <cell r="H59">
            <v>4.4999999999999998E-2</v>
          </cell>
        </row>
        <row r="60">
          <cell r="D60">
            <v>55</v>
          </cell>
          <cell r="E60">
            <v>119.7</v>
          </cell>
          <cell r="F60">
            <v>115.7</v>
          </cell>
          <cell r="H60">
            <v>0</v>
          </cell>
        </row>
        <row r="61">
          <cell r="D61">
            <v>56</v>
          </cell>
          <cell r="E61">
            <v>119.3</v>
          </cell>
          <cell r="F61">
            <v>117.9</v>
          </cell>
          <cell r="H61">
            <v>0</v>
          </cell>
        </row>
        <row r="62">
          <cell r="D62">
            <v>57</v>
          </cell>
          <cell r="E62">
            <v>118.8</v>
          </cell>
          <cell r="F62">
            <v>111.3</v>
          </cell>
          <cell r="H62">
            <v>0</v>
          </cell>
        </row>
        <row r="63">
          <cell r="D63">
            <v>58</v>
          </cell>
          <cell r="E63">
            <v>119.9</v>
          </cell>
          <cell r="F63">
            <v>114.8</v>
          </cell>
          <cell r="H63">
            <v>0</v>
          </cell>
        </row>
        <row r="64">
          <cell r="D64">
            <v>59</v>
          </cell>
          <cell r="E64">
            <v>121.1</v>
          </cell>
          <cell r="F64">
            <v>109.9</v>
          </cell>
          <cell r="H64">
            <v>0</v>
          </cell>
        </row>
        <row r="65">
          <cell r="D65">
            <v>60</v>
          </cell>
          <cell r="E65">
            <v>120.2</v>
          </cell>
          <cell r="F65">
            <v>113</v>
          </cell>
          <cell r="H65">
            <v>0</v>
          </cell>
        </row>
        <row r="66">
          <cell r="D66">
            <v>61</v>
          </cell>
          <cell r="E66">
            <v>120.2</v>
          </cell>
          <cell r="F66">
            <v>114.1</v>
          </cell>
          <cell r="H66">
            <v>0</v>
          </cell>
        </row>
        <row r="67">
          <cell r="D67">
            <v>62</v>
          </cell>
          <cell r="E67">
            <v>118.8</v>
          </cell>
          <cell r="F67">
            <v>111.5</v>
          </cell>
          <cell r="H67">
            <v>0</v>
          </cell>
        </row>
        <row r="68">
          <cell r="D68">
            <v>63</v>
          </cell>
          <cell r="E68">
            <v>118.1</v>
          </cell>
          <cell r="F68">
            <v>110.9</v>
          </cell>
          <cell r="H68">
            <v>0</v>
          </cell>
        </row>
        <row r="69">
          <cell r="D69">
            <v>64</v>
          </cell>
          <cell r="E69">
            <v>118.1</v>
          </cell>
          <cell r="F69">
            <v>114.9</v>
          </cell>
          <cell r="H69">
            <v>0</v>
          </cell>
        </row>
        <row r="70">
          <cell r="D70">
            <v>65</v>
          </cell>
          <cell r="E70">
            <v>117.7</v>
          </cell>
          <cell r="F70">
            <v>109.6</v>
          </cell>
          <cell r="H70">
            <v>0</v>
          </cell>
        </row>
        <row r="71">
          <cell r="D71">
            <v>66</v>
          </cell>
          <cell r="E71">
            <v>116.6</v>
          </cell>
          <cell r="F71">
            <v>116.3</v>
          </cell>
          <cell r="H71">
            <v>0</v>
          </cell>
        </row>
        <row r="72">
          <cell r="D72">
            <v>67</v>
          </cell>
          <cell r="E72">
            <v>116.8</v>
          </cell>
          <cell r="F72">
            <v>118.3</v>
          </cell>
          <cell r="H72">
            <v>0</v>
          </cell>
        </row>
        <row r="73">
          <cell r="D73">
            <v>68</v>
          </cell>
          <cell r="E73">
            <v>116.6</v>
          </cell>
          <cell r="F73">
            <v>113.8</v>
          </cell>
          <cell r="H73">
            <v>0</v>
          </cell>
        </row>
        <row r="74">
          <cell r="D74">
            <v>69</v>
          </cell>
          <cell r="E74">
            <v>118.3</v>
          </cell>
          <cell r="F74">
            <v>112.3</v>
          </cell>
          <cell r="H74">
            <v>0</v>
          </cell>
        </row>
        <row r="75">
          <cell r="D75">
            <v>70</v>
          </cell>
          <cell r="E75">
            <v>120.1</v>
          </cell>
          <cell r="F75">
            <v>116.3</v>
          </cell>
          <cell r="H75">
            <v>2.0799999999999999E-2</v>
          </cell>
        </row>
        <row r="76">
          <cell r="D76">
            <v>71</v>
          </cell>
          <cell r="E76">
            <v>119.7</v>
          </cell>
          <cell r="F76">
            <v>117.4</v>
          </cell>
          <cell r="H76">
            <v>2.0799999999999999E-2</v>
          </cell>
        </row>
        <row r="77">
          <cell r="D77">
            <v>72</v>
          </cell>
          <cell r="E77">
            <v>119.5</v>
          </cell>
          <cell r="F77">
            <v>113.1</v>
          </cell>
          <cell r="H77">
            <v>2.0799999999999999E-2</v>
          </cell>
        </row>
        <row r="78">
          <cell r="D78">
            <v>73</v>
          </cell>
          <cell r="E78">
            <v>119.3</v>
          </cell>
          <cell r="F78">
            <v>111.1</v>
          </cell>
          <cell r="H78">
            <v>2.0799999999999999E-2</v>
          </cell>
        </row>
        <row r="79">
          <cell r="D79">
            <v>74</v>
          </cell>
          <cell r="E79">
            <v>119.9</v>
          </cell>
          <cell r="F79">
            <v>113.4</v>
          </cell>
          <cell r="H79">
            <v>2.0799999999999999E-2</v>
          </cell>
        </row>
        <row r="80">
          <cell r="D80">
            <v>75</v>
          </cell>
          <cell r="E80">
            <v>119.2</v>
          </cell>
          <cell r="F80">
            <v>112.4</v>
          </cell>
          <cell r="H80">
            <v>0</v>
          </cell>
        </row>
        <row r="81">
          <cell r="D81">
            <v>76</v>
          </cell>
          <cell r="E81">
            <v>117.9</v>
          </cell>
          <cell r="F81">
            <v>115</v>
          </cell>
          <cell r="H81">
            <v>0</v>
          </cell>
        </row>
        <row r="82">
          <cell r="D82">
            <v>77</v>
          </cell>
          <cell r="E82">
            <v>116.6</v>
          </cell>
          <cell r="F82">
            <v>115</v>
          </cell>
          <cell r="H82">
            <v>0</v>
          </cell>
        </row>
        <row r="83">
          <cell r="D83">
            <v>78</v>
          </cell>
          <cell r="E83">
            <v>118.3</v>
          </cell>
          <cell r="F83">
            <v>110.1</v>
          </cell>
          <cell r="H83">
            <v>0</v>
          </cell>
        </row>
        <row r="84">
          <cell r="D84">
            <v>79</v>
          </cell>
          <cell r="E84">
            <v>120.4</v>
          </cell>
          <cell r="F84">
            <v>116.2</v>
          </cell>
          <cell r="H84">
            <v>0</v>
          </cell>
        </row>
        <row r="85">
          <cell r="D85">
            <v>80</v>
          </cell>
          <cell r="E85">
            <v>122.4</v>
          </cell>
          <cell r="F85">
            <v>107.3</v>
          </cell>
          <cell r="H85">
            <v>2.0799999999999999E-2</v>
          </cell>
        </row>
        <row r="86">
          <cell r="D86">
            <v>81</v>
          </cell>
          <cell r="E86">
            <v>124.4</v>
          </cell>
          <cell r="F86">
            <v>107.2</v>
          </cell>
          <cell r="H86">
            <v>2.0799999999999999E-2</v>
          </cell>
        </row>
        <row r="87">
          <cell r="D87">
            <v>82</v>
          </cell>
          <cell r="E87">
            <v>126.4</v>
          </cell>
          <cell r="F87">
            <v>113.7</v>
          </cell>
          <cell r="H87">
            <v>2.0799999999999999E-2</v>
          </cell>
        </row>
        <row r="88">
          <cell r="D88">
            <v>83</v>
          </cell>
          <cell r="E88">
            <v>128.30000000000001</v>
          </cell>
          <cell r="F88">
            <v>109</v>
          </cell>
          <cell r="H88">
            <v>2.0799999999999999E-2</v>
          </cell>
        </row>
        <row r="89">
          <cell r="D89">
            <v>84</v>
          </cell>
          <cell r="E89">
            <v>130.30000000000001</v>
          </cell>
          <cell r="F89">
            <v>106.1</v>
          </cell>
          <cell r="H89">
            <v>2.0799999999999999E-2</v>
          </cell>
        </row>
        <row r="90">
          <cell r="D90">
            <v>85</v>
          </cell>
          <cell r="E90">
            <v>132.30000000000001</v>
          </cell>
          <cell r="F90">
            <v>112.7</v>
          </cell>
          <cell r="H90">
            <v>2.0799999999999999E-2</v>
          </cell>
        </row>
        <row r="91">
          <cell r="D91">
            <v>86</v>
          </cell>
          <cell r="E91">
            <v>134.30000000000001</v>
          </cell>
          <cell r="F91">
            <v>106.9</v>
          </cell>
          <cell r="H91">
            <v>2.0799999999999999E-2</v>
          </cell>
        </row>
        <row r="92">
          <cell r="D92">
            <v>87</v>
          </cell>
          <cell r="E92">
            <v>136.30000000000001</v>
          </cell>
          <cell r="F92">
            <v>107.6</v>
          </cell>
          <cell r="H92">
            <v>2.0799999999999999E-2</v>
          </cell>
        </row>
        <row r="93">
          <cell r="D93">
            <v>88</v>
          </cell>
          <cell r="E93">
            <v>112</v>
          </cell>
          <cell r="F93">
            <v>105.3</v>
          </cell>
          <cell r="H93">
            <v>2.0799999999999999E-2</v>
          </cell>
        </row>
        <row r="94">
          <cell r="D94">
            <v>89</v>
          </cell>
          <cell r="E94">
            <v>112.3</v>
          </cell>
          <cell r="F94">
            <v>113.4</v>
          </cell>
          <cell r="H94">
            <v>2.0799999999999999E-2</v>
          </cell>
        </row>
        <row r="95">
          <cell r="D95">
            <v>90</v>
          </cell>
          <cell r="E95">
            <v>144.4</v>
          </cell>
          <cell r="F95">
            <v>110.6</v>
          </cell>
          <cell r="H95">
            <v>2.0799999999999999E-2</v>
          </cell>
        </row>
        <row r="96">
          <cell r="D96">
            <v>91</v>
          </cell>
          <cell r="E96">
            <v>146.30000000000001</v>
          </cell>
          <cell r="F96">
            <v>110.1</v>
          </cell>
          <cell r="H96">
            <v>2.0799999999999999E-2</v>
          </cell>
        </row>
        <row r="97">
          <cell r="D97">
            <v>92</v>
          </cell>
          <cell r="E97">
            <v>148.30000000000001</v>
          </cell>
          <cell r="F97">
            <v>104</v>
          </cell>
          <cell r="H97">
            <v>2.0799999999999999E-2</v>
          </cell>
        </row>
        <row r="98">
          <cell r="D98">
            <v>93</v>
          </cell>
          <cell r="E98">
            <v>150.30000000000001</v>
          </cell>
          <cell r="F98">
            <v>108.7</v>
          </cell>
          <cell r="H98">
            <v>2.0799999999999999E-2</v>
          </cell>
        </row>
        <row r="99">
          <cell r="D99">
            <v>94</v>
          </cell>
          <cell r="E99">
            <v>152.30000000000001</v>
          </cell>
          <cell r="F99">
            <v>105.6</v>
          </cell>
          <cell r="H99">
            <v>2.0799999999999999E-2</v>
          </cell>
        </row>
        <row r="100">
          <cell r="D100">
            <v>95</v>
          </cell>
          <cell r="E100">
            <v>154.30000000000001</v>
          </cell>
          <cell r="F100">
            <v>110</v>
          </cell>
          <cell r="H100">
            <v>2.0799999999999999E-2</v>
          </cell>
        </row>
        <row r="101">
          <cell r="D101">
            <v>96</v>
          </cell>
          <cell r="E101">
            <v>156.4</v>
          </cell>
          <cell r="F101">
            <v>109.1</v>
          </cell>
          <cell r="H101">
            <v>2.0799999999999999E-2</v>
          </cell>
        </row>
        <row r="102">
          <cell r="D102">
            <v>97</v>
          </cell>
          <cell r="E102">
            <v>158.4</v>
          </cell>
          <cell r="F102">
            <v>105.9</v>
          </cell>
          <cell r="H102">
            <v>2.0799999999999999E-2</v>
          </cell>
        </row>
        <row r="103">
          <cell r="D103">
            <v>98</v>
          </cell>
          <cell r="E103">
            <v>160.4</v>
          </cell>
          <cell r="F103">
            <v>107.9</v>
          </cell>
          <cell r="H103">
            <v>2.0799999999999999E-2</v>
          </cell>
        </row>
        <row r="104">
          <cell r="D104">
            <v>99</v>
          </cell>
          <cell r="E104">
            <v>162.4</v>
          </cell>
          <cell r="F104">
            <v>111.8</v>
          </cell>
          <cell r="H104">
            <v>2.0799999999999999E-2</v>
          </cell>
        </row>
        <row r="105">
          <cell r="D105">
            <v>100</v>
          </cell>
          <cell r="E105">
            <v>164.3</v>
          </cell>
          <cell r="F105">
            <v>109.5</v>
          </cell>
          <cell r="H105">
            <v>4.4999999999999998E-2</v>
          </cell>
        </row>
        <row r="106">
          <cell r="D106">
            <v>101</v>
          </cell>
          <cell r="E106">
            <v>166.3</v>
          </cell>
          <cell r="F106">
            <v>111.1</v>
          </cell>
          <cell r="H106">
            <v>4.4999999999999998E-2</v>
          </cell>
        </row>
        <row r="107">
          <cell r="D107">
            <v>102</v>
          </cell>
          <cell r="E107">
            <v>168.3</v>
          </cell>
          <cell r="F107">
            <v>106.9</v>
          </cell>
          <cell r="H107">
            <v>4.4999999999999998E-2</v>
          </cell>
        </row>
        <row r="108">
          <cell r="D108">
            <v>103</v>
          </cell>
          <cell r="E108">
            <v>170.3</v>
          </cell>
          <cell r="F108">
            <v>111.1</v>
          </cell>
          <cell r="H108">
            <v>4.4999999999999998E-2</v>
          </cell>
        </row>
        <row r="109">
          <cell r="D109">
            <v>104</v>
          </cell>
          <cell r="E109">
            <v>172.3</v>
          </cell>
          <cell r="F109">
            <v>102.6</v>
          </cell>
          <cell r="H109">
            <v>4.4999999999999998E-2</v>
          </cell>
        </row>
        <row r="110">
          <cell r="D110">
            <v>105</v>
          </cell>
          <cell r="E110">
            <v>174.4</v>
          </cell>
          <cell r="F110">
            <v>105</v>
          </cell>
          <cell r="H110">
            <v>4.4999999999999998E-2</v>
          </cell>
        </row>
        <row r="111">
          <cell r="D111">
            <v>106</v>
          </cell>
          <cell r="E111">
            <v>176.4</v>
          </cell>
          <cell r="F111">
            <v>108.5</v>
          </cell>
          <cell r="H111">
            <v>4.4999999999999998E-2</v>
          </cell>
        </row>
        <row r="112">
          <cell r="D112">
            <v>107</v>
          </cell>
          <cell r="E112">
            <v>178.4</v>
          </cell>
          <cell r="F112">
            <v>106</v>
          </cell>
          <cell r="H112">
            <v>4.4999999999999998E-2</v>
          </cell>
        </row>
        <row r="113">
          <cell r="D113">
            <v>108</v>
          </cell>
          <cell r="E113">
            <v>180.4</v>
          </cell>
          <cell r="F113">
            <v>105</v>
          </cell>
          <cell r="H113">
            <v>4.4999999999999998E-2</v>
          </cell>
        </row>
        <row r="114">
          <cell r="D114">
            <v>109</v>
          </cell>
          <cell r="E114">
            <v>182.3</v>
          </cell>
          <cell r="F114">
            <v>105.8</v>
          </cell>
          <cell r="H114">
            <v>4.4999999999999998E-2</v>
          </cell>
        </row>
        <row r="115">
          <cell r="D115">
            <v>110</v>
          </cell>
          <cell r="E115">
            <v>184.3</v>
          </cell>
          <cell r="F115">
            <v>104.5</v>
          </cell>
          <cell r="H115">
            <v>4.4999999999999998E-2</v>
          </cell>
        </row>
        <row r="116">
          <cell r="D116">
            <v>111</v>
          </cell>
          <cell r="E116">
            <v>186.3</v>
          </cell>
          <cell r="F116">
            <v>102.1</v>
          </cell>
          <cell r="H116">
            <v>4.4999999999999998E-2</v>
          </cell>
        </row>
        <row r="117">
          <cell r="D117">
            <v>112</v>
          </cell>
          <cell r="E117">
            <v>188.3</v>
          </cell>
          <cell r="F117">
            <v>100</v>
          </cell>
          <cell r="H117">
            <v>4.4999999999999998E-2</v>
          </cell>
        </row>
        <row r="118">
          <cell r="D118">
            <v>113</v>
          </cell>
          <cell r="E118">
            <v>190.3</v>
          </cell>
          <cell r="F118">
            <v>104.3</v>
          </cell>
          <cell r="H118">
            <v>4.4999999999999998E-2</v>
          </cell>
        </row>
        <row r="119">
          <cell r="D119">
            <v>114</v>
          </cell>
          <cell r="E119">
            <v>106.7</v>
          </cell>
          <cell r="F119">
            <v>108.2</v>
          </cell>
          <cell r="H119">
            <v>4.4999999999999998E-2</v>
          </cell>
        </row>
        <row r="120">
          <cell r="D120">
            <v>115</v>
          </cell>
          <cell r="E120">
            <v>104.9</v>
          </cell>
          <cell r="F120">
            <v>103.6</v>
          </cell>
          <cell r="H120">
            <v>0</v>
          </cell>
        </row>
        <row r="121">
          <cell r="D121">
            <v>116</v>
          </cell>
          <cell r="E121">
            <v>104</v>
          </cell>
          <cell r="F121">
            <v>102</v>
          </cell>
          <cell r="H121">
            <v>0</v>
          </cell>
        </row>
        <row r="122">
          <cell r="D122">
            <v>117</v>
          </cell>
          <cell r="E122">
            <v>105.7</v>
          </cell>
          <cell r="F122">
            <v>104.1</v>
          </cell>
          <cell r="H122">
            <v>0</v>
          </cell>
        </row>
        <row r="123">
          <cell r="D123">
            <v>118</v>
          </cell>
          <cell r="E123">
            <v>105.5</v>
          </cell>
          <cell r="F123">
            <v>104.7</v>
          </cell>
          <cell r="H123">
            <v>0</v>
          </cell>
        </row>
        <row r="124">
          <cell r="D124">
            <v>119</v>
          </cell>
          <cell r="E124">
            <v>105.1</v>
          </cell>
          <cell r="F124">
            <v>101.8</v>
          </cell>
          <cell r="H124">
            <v>0</v>
          </cell>
        </row>
        <row r="125">
          <cell r="D125">
            <v>120</v>
          </cell>
          <cell r="E125">
            <v>104.6</v>
          </cell>
          <cell r="F125">
            <v>99.3</v>
          </cell>
          <cell r="H125">
            <v>0</v>
          </cell>
        </row>
        <row r="126">
          <cell r="D126">
            <v>121</v>
          </cell>
          <cell r="E126">
            <v>104.2</v>
          </cell>
          <cell r="F126">
            <v>98.7</v>
          </cell>
          <cell r="H126">
            <v>0</v>
          </cell>
        </row>
        <row r="127">
          <cell r="D127">
            <v>122</v>
          </cell>
          <cell r="E127">
            <v>104</v>
          </cell>
          <cell r="F127">
            <v>101.3</v>
          </cell>
          <cell r="H127">
            <v>0</v>
          </cell>
        </row>
        <row r="128">
          <cell r="D128">
            <v>123</v>
          </cell>
          <cell r="E128">
            <v>103.3</v>
          </cell>
          <cell r="F128">
            <v>102.4</v>
          </cell>
          <cell r="H128">
            <v>0</v>
          </cell>
        </row>
        <row r="129">
          <cell r="D129">
            <v>124</v>
          </cell>
          <cell r="E129">
            <v>102.2</v>
          </cell>
          <cell r="F129">
            <v>99.1</v>
          </cell>
          <cell r="H129">
            <v>0</v>
          </cell>
        </row>
        <row r="130">
          <cell r="D130">
            <v>125</v>
          </cell>
          <cell r="E130">
            <v>101.9</v>
          </cell>
          <cell r="F130">
            <v>100.8</v>
          </cell>
          <cell r="H130">
            <v>0</v>
          </cell>
        </row>
        <row r="131">
          <cell r="D131">
            <v>126</v>
          </cell>
          <cell r="E131">
            <v>101.3</v>
          </cell>
          <cell r="F131">
            <v>101.9</v>
          </cell>
          <cell r="H131">
            <v>0</v>
          </cell>
        </row>
        <row r="132">
          <cell r="D132">
            <v>127</v>
          </cell>
          <cell r="E132">
            <v>101.3</v>
          </cell>
          <cell r="F132">
            <v>103.2</v>
          </cell>
          <cell r="H132">
            <v>0</v>
          </cell>
        </row>
        <row r="133">
          <cell r="D133">
            <v>128</v>
          </cell>
          <cell r="E133">
            <v>101.2</v>
          </cell>
          <cell r="F133">
            <v>98.8</v>
          </cell>
          <cell r="H133">
            <v>0</v>
          </cell>
        </row>
        <row r="134">
          <cell r="D134">
            <v>129</v>
          </cell>
          <cell r="E134">
            <v>101.5</v>
          </cell>
          <cell r="F134">
            <v>101.9</v>
          </cell>
          <cell r="H134">
            <v>0</v>
          </cell>
        </row>
        <row r="135">
          <cell r="D135">
            <v>130</v>
          </cell>
          <cell r="E135">
            <v>102.6</v>
          </cell>
          <cell r="F135">
            <v>100.3</v>
          </cell>
          <cell r="H135">
            <v>0</v>
          </cell>
        </row>
        <row r="136">
          <cell r="D136">
            <v>131</v>
          </cell>
          <cell r="E136">
            <v>102.4</v>
          </cell>
          <cell r="F136">
            <v>102.5</v>
          </cell>
          <cell r="H136">
            <v>0</v>
          </cell>
        </row>
        <row r="137">
          <cell r="D137">
            <v>132</v>
          </cell>
          <cell r="E137">
            <v>102.2</v>
          </cell>
          <cell r="F137">
            <v>99.1</v>
          </cell>
          <cell r="H137">
            <v>0</v>
          </cell>
        </row>
        <row r="138">
          <cell r="D138">
            <v>133</v>
          </cell>
          <cell r="E138">
            <v>102.1</v>
          </cell>
          <cell r="F138">
            <v>102.7</v>
          </cell>
          <cell r="H138">
            <v>0</v>
          </cell>
        </row>
        <row r="139">
          <cell r="D139">
            <v>134</v>
          </cell>
          <cell r="E139">
            <v>102.6</v>
          </cell>
          <cell r="F139">
            <v>99</v>
          </cell>
          <cell r="H139">
            <v>0</v>
          </cell>
        </row>
        <row r="140">
          <cell r="D140">
            <v>135</v>
          </cell>
          <cell r="E140">
            <v>102.2</v>
          </cell>
          <cell r="F140">
            <v>99.3</v>
          </cell>
          <cell r="H140">
            <v>0</v>
          </cell>
        </row>
        <row r="141">
          <cell r="D141">
            <v>136</v>
          </cell>
          <cell r="E141">
            <v>102.4</v>
          </cell>
          <cell r="F141">
            <v>100.7</v>
          </cell>
          <cell r="H141">
            <v>0</v>
          </cell>
        </row>
        <row r="142">
          <cell r="D142">
            <v>137</v>
          </cell>
          <cell r="E142">
            <v>102.1</v>
          </cell>
          <cell r="F142">
            <v>101.7</v>
          </cell>
          <cell r="H142">
            <v>0</v>
          </cell>
        </row>
        <row r="143">
          <cell r="D143">
            <v>138</v>
          </cell>
          <cell r="E143">
            <v>101.7</v>
          </cell>
          <cell r="F143">
            <v>98</v>
          </cell>
          <cell r="H143">
            <v>0</v>
          </cell>
        </row>
        <row r="144">
          <cell r="D144">
            <v>139</v>
          </cell>
          <cell r="E144">
            <v>101</v>
          </cell>
          <cell r="F144">
            <v>97.6</v>
          </cell>
          <cell r="H144">
            <v>0</v>
          </cell>
        </row>
        <row r="145">
          <cell r="D145">
            <v>140</v>
          </cell>
          <cell r="E145">
            <v>101.2</v>
          </cell>
          <cell r="F145">
            <v>94.6</v>
          </cell>
          <cell r="H145">
            <v>0</v>
          </cell>
        </row>
        <row r="146">
          <cell r="D146">
            <v>141</v>
          </cell>
          <cell r="E146">
            <v>101.2</v>
          </cell>
          <cell r="F146">
            <v>98.4</v>
          </cell>
          <cell r="H146">
            <v>0</v>
          </cell>
        </row>
        <row r="147">
          <cell r="D147">
            <v>142</v>
          </cell>
          <cell r="E147">
            <v>99.2</v>
          </cell>
          <cell r="F147">
            <v>101.2</v>
          </cell>
          <cell r="H147">
            <v>0</v>
          </cell>
        </row>
        <row r="148">
          <cell r="D148">
            <v>143</v>
          </cell>
          <cell r="E148">
            <v>96.7</v>
          </cell>
          <cell r="F148">
            <v>94.8</v>
          </cell>
          <cell r="H148">
            <v>0</v>
          </cell>
        </row>
        <row r="149">
          <cell r="D149">
            <v>144</v>
          </cell>
          <cell r="E149">
            <v>96.3</v>
          </cell>
          <cell r="F149">
            <v>93.8</v>
          </cell>
          <cell r="H149">
            <v>0</v>
          </cell>
        </row>
        <row r="150">
          <cell r="D150">
            <v>145</v>
          </cell>
          <cell r="E150">
            <v>97</v>
          </cell>
          <cell r="F150">
            <v>101.7</v>
          </cell>
          <cell r="H150">
            <v>0</v>
          </cell>
        </row>
        <row r="151">
          <cell r="D151">
            <v>146</v>
          </cell>
          <cell r="E151">
            <v>96.1</v>
          </cell>
          <cell r="F151">
            <v>100.3</v>
          </cell>
          <cell r="H151">
            <v>0</v>
          </cell>
        </row>
        <row r="152">
          <cell r="D152">
            <v>147</v>
          </cell>
          <cell r="E152">
            <v>94.7</v>
          </cell>
          <cell r="F152">
            <v>100.2</v>
          </cell>
          <cell r="H152">
            <v>0</v>
          </cell>
        </row>
        <row r="153">
          <cell r="D153">
            <v>148</v>
          </cell>
          <cell r="E153">
            <v>95.6</v>
          </cell>
          <cell r="F153">
            <v>94</v>
          </cell>
          <cell r="H153">
            <v>0</v>
          </cell>
        </row>
        <row r="154">
          <cell r="D154">
            <v>149</v>
          </cell>
          <cell r="E154">
            <v>96.8</v>
          </cell>
          <cell r="F154">
            <v>98.7</v>
          </cell>
          <cell r="H154">
            <v>0</v>
          </cell>
        </row>
        <row r="155">
          <cell r="D155">
            <v>150</v>
          </cell>
          <cell r="E155">
            <v>97.9</v>
          </cell>
          <cell r="F155">
            <v>95.7</v>
          </cell>
          <cell r="H155">
            <v>2.0799999999999999E-2</v>
          </cell>
        </row>
        <row r="156">
          <cell r="D156">
            <v>151</v>
          </cell>
          <cell r="E156">
            <v>97.2</v>
          </cell>
          <cell r="F156">
            <v>100.6</v>
          </cell>
          <cell r="H156">
            <v>2.0799999999999999E-2</v>
          </cell>
        </row>
        <row r="157">
          <cell r="D157">
            <v>152</v>
          </cell>
          <cell r="E157">
            <v>96.3</v>
          </cell>
          <cell r="F157">
            <v>99</v>
          </cell>
          <cell r="H157">
            <v>2.0799999999999999E-2</v>
          </cell>
        </row>
        <row r="158">
          <cell r="D158">
            <v>153</v>
          </cell>
          <cell r="E158">
            <v>96.5</v>
          </cell>
          <cell r="F158">
            <v>96.5</v>
          </cell>
          <cell r="H158">
            <v>2.0799999999999999E-2</v>
          </cell>
        </row>
        <row r="159">
          <cell r="D159">
            <v>154</v>
          </cell>
          <cell r="E159">
            <v>96.7</v>
          </cell>
          <cell r="F159">
            <v>98.1</v>
          </cell>
          <cell r="H159">
            <v>2.0799999999999999E-2</v>
          </cell>
        </row>
        <row r="160">
          <cell r="D160">
            <v>155</v>
          </cell>
          <cell r="E160">
            <v>99.2</v>
          </cell>
          <cell r="F160">
            <v>97.8</v>
          </cell>
          <cell r="H160">
            <v>2.0799999999999999E-2</v>
          </cell>
        </row>
        <row r="161">
          <cell r="D161">
            <v>156</v>
          </cell>
          <cell r="E161">
            <v>101.2</v>
          </cell>
          <cell r="F161">
            <v>93.1</v>
          </cell>
          <cell r="H161">
            <v>2.0799999999999999E-2</v>
          </cell>
        </row>
        <row r="162">
          <cell r="D162">
            <v>157</v>
          </cell>
          <cell r="E162">
            <v>103.1</v>
          </cell>
          <cell r="F162">
            <v>97.9</v>
          </cell>
          <cell r="H162">
            <v>2.0799999999999999E-2</v>
          </cell>
        </row>
        <row r="163">
          <cell r="D163">
            <v>158</v>
          </cell>
          <cell r="E163">
            <v>105.1</v>
          </cell>
          <cell r="F163">
            <v>93.2</v>
          </cell>
          <cell r="H163">
            <v>2.0799999999999999E-2</v>
          </cell>
        </row>
        <row r="164">
          <cell r="D164">
            <v>159</v>
          </cell>
          <cell r="E164">
            <v>95.2</v>
          </cell>
          <cell r="F164">
            <v>98.8</v>
          </cell>
          <cell r="H164">
            <v>2.0799999999999999E-2</v>
          </cell>
        </row>
        <row r="165">
          <cell r="D165">
            <v>160</v>
          </cell>
          <cell r="E165">
            <v>94.7</v>
          </cell>
          <cell r="F165">
            <v>92.2</v>
          </cell>
          <cell r="H165">
            <v>2.0799999999999999E-2</v>
          </cell>
        </row>
        <row r="166">
          <cell r="D166">
            <v>161</v>
          </cell>
          <cell r="E166">
            <v>113.2</v>
          </cell>
          <cell r="F166">
            <v>98.8</v>
          </cell>
          <cell r="H166">
            <v>2.0799999999999999E-2</v>
          </cell>
        </row>
        <row r="167">
          <cell r="D167">
            <v>162</v>
          </cell>
          <cell r="E167">
            <v>115.2</v>
          </cell>
          <cell r="F167">
            <v>96.7</v>
          </cell>
          <cell r="H167">
            <v>2.0799999999999999E-2</v>
          </cell>
        </row>
        <row r="168">
          <cell r="D168">
            <v>163</v>
          </cell>
          <cell r="E168">
            <v>117.2</v>
          </cell>
          <cell r="F168">
            <v>95.8</v>
          </cell>
          <cell r="H168">
            <v>2.0799999999999999E-2</v>
          </cell>
        </row>
        <row r="169">
          <cell r="D169">
            <v>164</v>
          </cell>
          <cell r="E169">
            <v>119.2</v>
          </cell>
          <cell r="F169">
            <v>97.5</v>
          </cell>
          <cell r="H169">
            <v>2.0799999999999999E-2</v>
          </cell>
        </row>
        <row r="170">
          <cell r="D170">
            <v>165</v>
          </cell>
          <cell r="E170">
            <v>121.1</v>
          </cell>
          <cell r="F170">
            <v>99.9</v>
          </cell>
          <cell r="H170">
            <v>2.0799999999999999E-2</v>
          </cell>
        </row>
        <row r="171">
          <cell r="D171">
            <v>166</v>
          </cell>
          <cell r="E171">
            <v>123.1</v>
          </cell>
          <cell r="F171">
            <v>93.7</v>
          </cell>
          <cell r="H171">
            <v>2.0799999999999999E-2</v>
          </cell>
        </row>
        <row r="172">
          <cell r="D172">
            <v>167</v>
          </cell>
          <cell r="E172">
            <v>125.1</v>
          </cell>
          <cell r="F172">
            <v>100.1</v>
          </cell>
          <cell r="H172">
            <v>2.0799999999999999E-2</v>
          </cell>
        </row>
        <row r="173">
          <cell r="D173">
            <v>168</v>
          </cell>
          <cell r="E173">
            <v>127.1</v>
          </cell>
          <cell r="F173">
            <v>100.3</v>
          </cell>
          <cell r="H173">
            <v>2.0799999999999999E-2</v>
          </cell>
        </row>
        <row r="174">
          <cell r="D174">
            <v>169</v>
          </cell>
          <cell r="E174">
            <v>129.19999999999999</v>
          </cell>
          <cell r="F174">
            <v>97.5</v>
          </cell>
          <cell r="H174">
            <v>2.0799999999999999E-2</v>
          </cell>
        </row>
        <row r="175">
          <cell r="D175">
            <v>170</v>
          </cell>
          <cell r="E175">
            <v>131.19999999999999</v>
          </cell>
          <cell r="F175">
            <v>100.4</v>
          </cell>
          <cell r="H175">
            <v>2.0799999999999999E-2</v>
          </cell>
        </row>
        <row r="176">
          <cell r="D176">
            <v>171</v>
          </cell>
          <cell r="E176">
            <v>133.19999999999999</v>
          </cell>
          <cell r="F176">
            <v>94.9</v>
          </cell>
          <cell r="H176">
            <v>2.0799999999999999E-2</v>
          </cell>
        </row>
        <row r="177">
          <cell r="D177">
            <v>172</v>
          </cell>
          <cell r="E177">
            <v>135.19999999999999</v>
          </cell>
          <cell r="F177">
            <v>102.1</v>
          </cell>
          <cell r="H177">
            <v>2.0799999999999999E-2</v>
          </cell>
        </row>
        <row r="178">
          <cell r="D178">
            <v>173</v>
          </cell>
          <cell r="E178">
            <v>137.19999999999999</v>
          </cell>
          <cell r="F178">
            <v>93.9</v>
          </cell>
          <cell r="H178">
            <v>2.0799999999999999E-2</v>
          </cell>
        </row>
        <row r="179">
          <cell r="D179">
            <v>174</v>
          </cell>
          <cell r="E179">
            <v>139.1</v>
          </cell>
          <cell r="F179">
            <v>98</v>
          </cell>
          <cell r="H179">
            <v>2.0799999999999999E-2</v>
          </cell>
        </row>
        <row r="180">
          <cell r="D180">
            <v>175</v>
          </cell>
          <cell r="E180">
            <v>141.1</v>
          </cell>
          <cell r="F180">
            <v>98</v>
          </cell>
          <cell r="H180">
            <v>2.0799999999999999E-2</v>
          </cell>
        </row>
        <row r="181">
          <cell r="D181">
            <v>176</v>
          </cell>
          <cell r="E181">
            <v>143.1</v>
          </cell>
          <cell r="F181">
            <v>98.4</v>
          </cell>
          <cell r="H181">
            <v>2.0799999999999999E-2</v>
          </cell>
        </row>
        <row r="182">
          <cell r="D182">
            <v>177</v>
          </cell>
          <cell r="E182">
            <v>145.1</v>
          </cell>
          <cell r="F182">
            <v>96.3</v>
          </cell>
          <cell r="H182">
            <v>2.0799999999999999E-2</v>
          </cell>
        </row>
        <row r="183">
          <cell r="D183">
            <v>178</v>
          </cell>
          <cell r="E183">
            <v>147.19999999999999</v>
          </cell>
          <cell r="F183">
            <v>103</v>
          </cell>
          <cell r="H183">
            <v>2.0799999999999999E-2</v>
          </cell>
        </row>
        <row r="184">
          <cell r="D184">
            <v>179</v>
          </cell>
          <cell r="E184">
            <v>149.19999999999999</v>
          </cell>
          <cell r="F184">
            <v>102.4</v>
          </cell>
          <cell r="H184">
            <v>2.0799999999999999E-2</v>
          </cell>
        </row>
        <row r="185">
          <cell r="D185">
            <v>180</v>
          </cell>
          <cell r="E185">
            <v>151.19999999999999</v>
          </cell>
          <cell r="F185">
            <v>97</v>
          </cell>
          <cell r="H185">
            <v>4.4999999999999998E-2</v>
          </cell>
        </row>
        <row r="186">
          <cell r="D186">
            <v>181</v>
          </cell>
          <cell r="E186">
            <v>153.19999999999999</v>
          </cell>
          <cell r="F186">
            <v>100.1</v>
          </cell>
          <cell r="H186">
            <v>4.4999999999999998E-2</v>
          </cell>
        </row>
        <row r="187">
          <cell r="D187">
            <v>182</v>
          </cell>
          <cell r="E187">
            <v>155.19999999999999</v>
          </cell>
          <cell r="F187">
            <v>96.2</v>
          </cell>
          <cell r="H187">
            <v>4.4999999999999998E-2</v>
          </cell>
        </row>
        <row r="188">
          <cell r="D188">
            <v>183</v>
          </cell>
          <cell r="E188">
            <v>157.1</v>
          </cell>
          <cell r="F188">
            <v>95.2</v>
          </cell>
          <cell r="H188">
            <v>4.4999999999999998E-2</v>
          </cell>
        </row>
        <row r="189">
          <cell r="D189">
            <v>184</v>
          </cell>
          <cell r="E189">
            <v>159.1</v>
          </cell>
          <cell r="F189">
            <v>102.1</v>
          </cell>
          <cell r="H189">
            <v>4.4999999999999998E-2</v>
          </cell>
        </row>
        <row r="190">
          <cell r="D190">
            <v>185</v>
          </cell>
          <cell r="E190">
            <v>98.5</v>
          </cell>
          <cell r="F190">
            <v>104.8</v>
          </cell>
          <cell r="H190">
            <v>0</v>
          </cell>
        </row>
        <row r="191">
          <cell r="D191">
            <v>186</v>
          </cell>
          <cell r="E191">
            <v>160</v>
          </cell>
          <cell r="F191">
            <v>99</v>
          </cell>
          <cell r="H191">
            <v>0</v>
          </cell>
        </row>
        <row r="192">
          <cell r="D192">
            <v>187</v>
          </cell>
          <cell r="E192">
            <v>160</v>
          </cell>
          <cell r="F192">
            <v>98.7</v>
          </cell>
          <cell r="H192">
            <v>0</v>
          </cell>
        </row>
        <row r="193">
          <cell r="D193">
            <v>188</v>
          </cell>
          <cell r="E193">
            <v>158</v>
          </cell>
          <cell r="F193">
            <v>105.1</v>
          </cell>
          <cell r="H193">
            <v>0</v>
          </cell>
        </row>
        <row r="194">
          <cell r="D194">
            <v>189</v>
          </cell>
          <cell r="E194">
            <v>158</v>
          </cell>
          <cell r="F194">
            <v>98.9</v>
          </cell>
          <cell r="H194">
            <v>0</v>
          </cell>
        </row>
        <row r="195">
          <cell r="D195">
            <v>190</v>
          </cell>
          <cell r="E195">
            <v>158</v>
          </cell>
          <cell r="F195">
            <v>102.9</v>
          </cell>
          <cell r="H195">
            <v>4.4999999999999998E-2</v>
          </cell>
        </row>
        <row r="196">
          <cell r="D196">
            <v>191</v>
          </cell>
          <cell r="E196">
            <v>158</v>
          </cell>
          <cell r="F196">
            <v>99.1</v>
          </cell>
          <cell r="H196">
            <v>4.4999999999999998E-2</v>
          </cell>
        </row>
        <row r="197">
          <cell r="D197">
            <v>192</v>
          </cell>
          <cell r="E197">
            <v>158</v>
          </cell>
          <cell r="F197">
            <v>101.1</v>
          </cell>
          <cell r="H197">
            <v>4.4999999999999998E-2</v>
          </cell>
        </row>
        <row r="198">
          <cell r="D198">
            <v>193</v>
          </cell>
          <cell r="E198">
            <v>158</v>
          </cell>
          <cell r="F198">
            <v>101.2</v>
          </cell>
          <cell r="H198">
            <v>4.4999999999999998E-2</v>
          </cell>
        </row>
        <row r="199">
          <cell r="D199">
            <v>194</v>
          </cell>
          <cell r="E199">
            <v>158</v>
          </cell>
          <cell r="F199">
            <v>105.1</v>
          </cell>
          <cell r="H199">
            <v>4.4999999999999998E-2</v>
          </cell>
        </row>
        <row r="200">
          <cell r="D200">
            <v>195</v>
          </cell>
          <cell r="E200">
            <v>158</v>
          </cell>
          <cell r="F200">
            <v>104.6</v>
          </cell>
          <cell r="H200">
            <v>2.0799999999999999E-2</v>
          </cell>
        </row>
        <row r="201">
          <cell r="D201">
            <v>196</v>
          </cell>
          <cell r="E201">
            <v>158</v>
          </cell>
          <cell r="F201">
            <v>102.7</v>
          </cell>
          <cell r="H201">
            <v>2.0799999999999999E-2</v>
          </cell>
        </row>
        <row r="202">
          <cell r="D202">
            <v>197</v>
          </cell>
          <cell r="E202">
            <v>158</v>
          </cell>
          <cell r="F202">
            <v>107.9</v>
          </cell>
          <cell r="H202">
            <v>2.0799999999999999E-2</v>
          </cell>
        </row>
        <row r="203">
          <cell r="D203">
            <v>198</v>
          </cell>
          <cell r="E203">
            <v>158</v>
          </cell>
          <cell r="F203">
            <v>101.1</v>
          </cell>
          <cell r="H203">
            <v>2.0799999999999999E-2</v>
          </cell>
        </row>
        <row r="204">
          <cell r="D204">
            <v>199</v>
          </cell>
          <cell r="E204">
            <v>158</v>
          </cell>
          <cell r="F204">
            <v>99.2</v>
          </cell>
          <cell r="H204">
            <v>2.0799999999999999E-2</v>
          </cell>
        </row>
        <row r="205">
          <cell r="D205">
            <v>200</v>
          </cell>
          <cell r="E205">
            <v>158</v>
          </cell>
          <cell r="F205">
            <v>105.7</v>
          </cell>
          <cell r="H205">
            <v>2.0799999999999999E-2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E4" t="str">
            <v>CGM_reading</v>
          </cell>
        </row>
      </sheetData>
      <sheetData sheetId="13">
        <row r="4">
          <cell r="E4" t="str">
            <v>CGM_reading</v>
          </cell>
        </row>
      </sheetData>
      <sheetData sheetId="14">
        <row r="4">
          <cell r="E4" t="str">
            <v>CGM_reading</v>
          </cell>
        </row>
      </sheetData>
      <sheetData sheetId="15" refreshError="1"/>
      <sheetData sheetId="16" refreshError="1"/>
      <sheetData sheetId="17">
        <row r="4">
          <cell r="E4" t="str">
            <v>CGM_reading</v>
          </cell>
        </row>
      </sheetData>
      <sheetData sheetId="18" refreshError="1"/>
      <sheetData sheetId="19" refreshError="1"/>
      <sheetData sheetId="20">
        <row r="4">
          <cell r="E4" t="str">
            <v>CGM_reading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6C1E-DC3A-43E4-97AC-90A8F437452F}">
  <dimension ref="C1:H361"/>
  <sheetViews>
    <sheetView tabSelected="1" zoomScale="80" zoomScaleNormal="80" workbookViewId="0">
      <selection activeCell="AA14" sqref="AA14"/>
    </sheetView>
  </sheetViews>
  <sheetFormatPr defaultRowHeight="14.5"/>
  <cols>
    <col min="3" max="3" width="17.26953125" style="1" bestFit="1" customWidth="1"/>
    <col min="4" max="4" width="15.81640625" style="1" customWidth="1"/>
    <col min="5" max="5" width="17.26953125" style="1" bestFit="1" customWidth="1"/>
    <col min="6" max="6" width="20.54296875" style="1" bestFit="1" customWidth="1"/>
    <col min="7" max="7" width="15.26953125" style="14" customWidth="1"/>
    <col min="8" max="8" width="11.453125" style="1" customWidth="1"/>
  </cols>
  <sheetData>
    <row r="1" spans="3:8">
      <c r="F1" s="2" t="s">
        <v>0</v>
      </c>
      <c r="G1" s="3">
        <v>201</v>
      </c>
    </row>
    <row r="2" spans="3:8">
      <c r="F2" s="2" t="s">
        <v>1</v>
      </c>
      <c r="G2" s="3">
        <f>SUM(G5:G205)</f>
        <v>52.626903238647088</v>
      </c>
    </row>
    <row r="3" spans="3:8">
      <c r="F3" s="4" t="s">
        <v>2</v>
      </c>
      <c r="G3" s="5">
        <f>G2/G1</f>
        <v>0.26182538924700044</v>
      </c>
    </row>
    <row r="4" spans="3:8">
      <c r="C4" s="6" t="s">
        <v>3</v>
      </c>
      <c r="D4" s="7" t="s">
        <v>4</v>
      </c>
      <c r="E4" s="6" t="s">
        <v>5</v>
      </c>
      <c r="F4" s="6" t="s">
        <v>6</v>
      </c>
      <c r="G4" s="8" t="s">
        <v>7</v>
      </c>
      <c r="H4" s="6" t="s">
        <v>8</v>
      </c>
    </row>
    <row r="5" spans="3:8">
      <c r="C5" s="9">
        <v>45947.432685185202</v>
      </c>
      <c r="D5" s="10">
        <v>0</v>
      </c>
      <c r="E5" s="11">
        <v>121.1</v>
      </c>
      <c r="F5" s="11">
        <v>119.8</v>
      </c>
      <c r="G5" s="12">
        <f>(E5-F5)/F5</f>
        <v>1.0851419031719508E-2</v>
      </c>
      <c r="H5" s="11">
        <v>2.0799999999999999E-2</v>
      </c>
    </row>
    <row r="6" spans="3:8">
      <c r="C6" s="9">
        <v>45947.4366435185</v>
      </c>
      <c r="D6" s="10">
        <v>1</v>
      </c>
      <c r="E6" s="11">
        <v>121.1</v>
      </c>
      <c r="F6" s="11">
        <v>117.6</v>
      </c>
      <c r="G6" s="12">
        <f t="shared" ref="G6:G69" si="0">(E6-F6)/F6</f>
        <v>2.9761904761904764E-2</v>
      </c>
      <c r="H6" s="11">
        <v>2.0799999999999999E-2</v>
      </c>
    </row>
    <row r="7" spans="3:8">
      <c r="C7" s="9">
        <v>45947.437395833302</v>
      </c>
      <c r="D7" s="10">
        <v>2</v>
      </c>
      <c r="E7" s="11">
        <v>121.5</v>
      </c>
      <c r="F7" s="11">
        <v>119.1</v>
      </c>
      <c r="G7" s="12">
        <f t="shared" si="0"/>
        <v>2.0151133501259494E-2</v>
      </c>
      <c r="H7" s="11">
        <v>2.0799999999999999E-2</v>
      </c>
    </row>
    <row r="8" spans="3:8">
      <c r="C8" s="9">
        <v>45947.438148148103</v>
      </c>
      <c r="D8" s="10">
        <v>3</v>
      </c>
      <c r="E8" s="11">
        <v>122.2</v>
      </c>
      <c r="F8" s="11">
        <v>119.1</v>
      </c>
      <c r="G8" s="12">
        <f t="shared" si="0"/>
        <v>2.6028547439126856E-2</v>
      </c>
      <c r="H8" s="11">
        <v>2.0799999999999999E-2</v>
      </c>
    </row>
    <row r="9" spans="3:8">
      <c r="C9" s="9">
        <v>45947.438900462999</v>
      </c>
      <c r="D9" s="10">
        <v>4</v>
      </c>
      <c r="E9" s="11">
        <v>122.6</v>
      </c>
      <c r="F9" s="11">
        <v>116.3</v>
      </c>
      <c r="G9" s="12">
        <f t="shared" si="0"/>
        <v>5.4170249355116058E-2</v>
      </c>
      <c r="H9" s="11">
        <v>2.0799999999999999E-2</v>
      </c>
    </row>
    <row r="10" spans="3:8">
      <c r="C10" s="9">
        <v>45947.439652777801</v>
      </c>
      <c r="D10" s="10">
        <v>5</v>
      </c>
      <c r="E10" s="11">
        <v>122.9</v>
      </c>
      <c r="F10" s="11">
        <v>112.3</v>
      </c>
      <c r="G10" s="12">
        <f t="shared" si="0"/>
        <v>9.4390026714158581E-2</v>
      </c>
      <c r="H10" s="11">
        <v>2.0799999999999999E-2</v>
      </c>
    </row>
    <row r="11" spans="3:8">
      <c r="C11" s="9">
        <v>45947.440405092602</v>
      </c>
      <c r="D11" s="10">
        <v>6</v>
      </c>
      <c r="E11" s="11">
        <v>124.4</v>
      </c>
      <c r="F11" s="11">
        <v>118</v>
      </c>
      <c r="G11" s="12">
        <f t="shared" si="0"/>
        <v>5.4237288135593267E-2</v>
      </c>
      <c r="H11" s="11">
        <v>2.0799999999999999E-2</v>
      </c>
    </row>
    <row r="12" spans="3:8">
      <c r="C12" s="9">
        <v>45947.441203703696</v>
      </c>
      <c r="D12" s="10">
        <v>7</v>
      </c>
      <c r="E12" s="11">
        <v>124.2</v>
      </c>
      <c r="F12" s="11">
        <v>114</v>
      </c>
      <c r="G12" s="12">
        <f t="shared" si="0"/>
        <v>8.9473684210526344E-2</v>
      </c>
      <c r="H12" s="11">
        <v>2.0799999999999999E-2</v>
      </c>
    </row>
    <row r="13" spans="3:8">
      <c r="C13" s="9">
        <v>45947.441967592596</v>
      </c>
      <c r="D13" s="10">
        <v>8</v>
      </c>
      <c r="E13" s="11">
        <v>122.9</v>
      </c>
      <c r="F13" s="11">
        <v>118.2</v>
      </c>
      <c r="G13" s="12">
        <f t="shared" si="0"/>
        <v>3.9763113367174301E-2</v>
      </c>
      <c r="H13" s="11">
        <v>2.0799999999999999E-2</v>
      </c>
    </row>
    <row r="14" spans="3:8">
      <c r="C14" s="9">
        <v>45947.442719907398</v>
      </c>
      <c r="D14" s="10">
        <v>9</v>
      </c>
      <c r="E14" s="11">
        <v>122.2</v>
      </c>
      <c r="F14" s="11">
        <v>115.7</v>
      </c>
      <c r="G14" s="12">
        <f t="shared" si="0"/>
        <v>5.6179775280898875E-2</v>
      </c>
      <c r="H14" s="11">
        <v>2.0799999999999999E-2</v>
      </c>
    </row>
    <row r="15" spans="3:8">
      <c r="C15" s="9">
        <v>45947.443472222199</v>
      </c>
      <c r="D15" s="10">
        <v>10</v>
      </c>
      <c r="E15" s="11">
        <v>121.5</v>
      </c>
      <c r="F15" s="11">
        <v>110.6</v>
      </c>
      <c r="G15" s="12">
        <f t="shared" si="0"/>
        <v>9.8553345388788488E-2</v>
      </c>
      <c r="H15" s="11">
        <v>2.0799999999999999E-2</v>
      </c>
    </row>
    <row r="16" spans="3:8">
      <c r="C16" s="9">
        <v>45947.444224537001</v>
      </c>
      <c r="D16" s="10">
        <v>11</v>
      </c>
      <c r="E16" s="11">
        <v>124</v>
      </c>
      <c r="F16" s="11">
        <v>116.5</v>
      </c>
      <c r="G16" s="12">
        <f t="shared" si="0"/>
        <v>6.4377682403433473E-2</v>
      </c>
      <c r="H16" s="11">
        <v>2.0799999999999999E-2</v>
      </c>
    </row>
    <row r="17" spans="3:8">
      <c r="C17" s="9">
        <v>45947.444976851897</v>
      </c>
      <c r="D17" s="10">
        <v>12</v>
      </c>
      <c r="E17" s="11">
        <v>126</v>
      </c>
      <c r="F17" s="11">
        <v>111.3</v>
      </c>
      <c r="G17" s="12">
        <f t="shared" si="0"/>
        <v>0.13207547169811323</v>
      </c>
      <c r="H17" s="11">
        <v>2.0799999999999999E-2</v>
      </c>
    </row>
    <row r="18" spans="3:8">
      <c r="C18" s="9">
        <v>45947.445729166699</v>
      </c>
      <c r="D18" s="10">
        <v>13</v>
      </c>
      <c r="E18" s="11">
        <v>128</v>
      </c>
      <c r="F18" s="11">
        <v>111.6</v>
      </c>
      <c r="G18" s="12">
        <f t="shared" si="0"/>
        <v>0.1469534050179212</v>
      </c>
      <c r="H18" s="11">
        <v>2.0799999999999999E-2</v>
      </c>
    </row>
    <row r="19" spans="3:8">
      <c r="C19" s="9">
        <v>45947.4464814815</v>
      </c>
      <c r="D19" s="10">
        <v>14</v>
      </c>
      <c r="E19" s="11">
        <v>130</v>
      </c>
      <c r="F19" s="11">
        <v>113.6</v>
      </c>
      <c r="G19" s="12">
        <f t="shared" si="0"/>
        <v>0.14436619718309865</v>
      </c>
      <c r="H19" s="11">
        <v>2.0799999999999999E-2</v>
      </c>
    </row>
    <row r="20" spans="3:8">
      <c r="C20" s="9">
        <v>45947.4472453704</v>
      </c>
      <c r="D20" s="10">
        <v>15</v>
      </c>
      <c r="E20" s="11">
        <v>131.9</v>
      </c>
      <c r="F20" s="11">
        <v>117.6</v>
      </c>
      <c r="G20" s="12">
        <f t="shared" si="0"/>
        <v>0.12159863945578242</v>
      </c>
      <c r="H20" s="11">
        <v>2.0799999999999999E-2</v>
      </c>
    </row>
    <row r="21" spans="3:8">
      <c r="C21" s="9">
        <v>45947.447997685202</v>
      </c>
      <c r="D21" s="10">
        <v>16</v>
      </c>
      <c r="E21" s="11">
        <v>119.7</v>
      </c>
      <c r="F21" s="11">
        <v>118.3</v>
      </c>
      <c r="G21" s="12">
        <f t="shared" si="0"/>
        <v>1.1834319526627267E-2</v>
      </c>
      <c r="H21" s="11">
        <v>2.0799999999999999E-2</v>
      </c>
    </row>
    <row r="22" spans="3:8">
      <c r="C22" s="9">
        <v>45947.448750000003</v>
      </c>
      <c r="D22" s="10">
        <v>17</v>
      </c>
      <c r="E22" s="11">
        <v>136.1</v>
      </c>
      <c r="F22" s="11">
        <v>111</v>
      </c>
      <c r="G22" s="12">
        <f t="shared" si="0"/>
        <v>0.22612612612612606</v>
      </c>
      <c r="H22" s="11">
        <v>2.0799999999999999E-2</v>
      </c>
    </row>
    <row r="23" spans="3:8">
      <c r="C23" s="9">
        <v>45947.449502314797</v>
      </c>
      <c r="D23" s="10">
        <v>18</v>
      </c>
      <c r="E23" s="11">
        <v>138.1</v>
      </c>
      <c r="F23" s="11">
        <v>112.1</v>
      </c>
      <c r="G23" s="12">
        <f t="shared" si="0"/>
        <v>0.23193577163247103</v>
      </c>
      <c r="H23" s="11">
        <v>2.0799999999999999E-2</v>
      </c>
    </row>
    <row r="24" spans="3:8">
      <c r="C24" s="9">
        <v>45947.450254629599</v>
      </c>
      <c r="D24" s="10">
        <v>19</v>
      </c>
      <c r="E24" s="11">
        <v>140</v>
      </c>
      <c r="F24" s="11">
        <v>118.1</v>
      </c>
      <c r="G24" s="12">
        <f t="shared" si="0"/>
        <v>0.18543607112616434</v>
      </c>
      <c r="H24" s="11">
        <v>2.0799999999999999E-2</v>
      </c>
    </row>
    <row r="25" spans="3:8">
      <c r="C25" s="9">
        <v>45947.4510069444</v>
      </c>
      <c r="D25" s="10">
        <v>20</v>
      </c>
      <c r="E25" s="11">
        <v>142</v>
      </c>
      <c r="F25" s="11">
        <v>113.3</v>
      </c>
      <c r="G25" s="12">
        <f t="shared" si="0"/>
        <v>0.25330979699911743</v>
      </c>
      <c r="H25" s="11">
        <v>2.0799999999999999E-2</v>
      </c>
    </row>
    <row r="26" spans="3:8">
      <c r="C26" s="9">
        <v>45947.451759259297</v>
      </c>
      <c r="D26" s="10">
        <v>21</v>
      </c>
      <c r="E26" s="11">
        <v>144</v>
      </c>
      <c r="F26" s="11">
        <v>118</v>
      </c>
      <c r="G26" s="12">
        <f t="shared" si="0"/>
        <v>0.22033898305084745</v>
      </c>
      <c r="H26" s="11">
        <v>2.0799999999999999E-2</v>
      </c>
    </row>
    <row r="27" spans="3:8">
      <c r="C27" s="9">
        <v>45947.452511574098</v>
      </c>
      <c r="D27" s="10">
        <v>22</v>
      </c>
      <c r="E27" s="11">
        <v>146</v>
      </c>
      <c r="F27" s="11">
        <v>119.1</v>
      </c>
      <c r="G27" s="12">
        <f t="shared" si="0"/>
        <v>0.22586062132661636</v>
      </c>
      <c r="H27" s="11">
        <v>2.0799999999999999E-2</v>
      </c>
    </row>
    <row r="28" spans="3:8">
      <c r="C28" s="9">
        <v>45947.4532638889</v>
      </c>
      <c r="D28" s="10">
        <v>23</v>
      </c>
      <c r="E28" s="11">
        <v>148</v>
      </c>
      <c r="F28" s="11">
        <v>113</v>
      </c>
      <c r="G28" s="12">
        <f t="shared" si="0"/>
        <v>0.30973451327433627</v>
      </c>
      <c r="H28" s="11">
        <v>2.0799999999999999E-2</v>
      </c>
    </row>
    <row r="29" spans="3:8">
      <c r="C29" s="9">
        <v>45947.454016203701</v>
      </c>
      <c r="D29" s="10">
        <v>24</v>
      </c>
      <c r="E29" s="11">
        <v>149.9</v>
      </c>
      <c r="F29" s="11">
        <v>117.4</v>
      </c>
      <c r="G29" s="12">
        <f t="shared" si="0"/>
        <v>0.27683134582623509</v>
      </c>
      <c r="H29" s="11">
        <v>2.0799999999999999E-2</v>
      </c>
    </row>
    <row r="30" spans="3:8">
      <c r="C30" s="9">
        <v>45947.454768518503</v>
      </c>
      <c r="D30" s="10">
        <v>25</v>
      </c>
      <c r="E30" s="11">
        <v>151.9</v>
      </c>
      <c r="F30" s="11">
        <v>114</v>
      </c>
      <c r="G30" s="12">
        <f t="shared" si="0"/>
        <v>0.33245614035087723</v>
      </c>
      <c r="H30" s="11">
        <v>4.4999999999999998E-2</v>
      </c>
    </row>
    <row r="31" spans="3:8">
      <c r="C31" s="9">
        <v>45947.455520833297</v>
      </c>
      <c r="D31" s="10">
        <v>26</v>
      </c>
      <c r="E31" s="11">
        <v>154.1</v>
      </c>
      <c r="F31" s="11">
        <v>118</v>
      </c>
      <c r="G31" s="12">
        <f t="shared" si="0"/>
        <v>0.30593220338983046</v>
      </c>
      <c r="H31" s="11">
        <v>4.4999999999999998E-2</v>
      </c>
    </row>
    <row r="32" spans="3:8">
      <c r="C32" s="9">
        <v>45947.456273148098</v>
      </c>
      <c r="D32" s="10">
        <v>27</v>
      </c>
      <c r="E32" s="11">
        <v>122.6</v>
      </c>
      <c r="F32" s="11">
        <v>111.1</v>
      </c>
      <c r="G32" s="12">
        <f t="shared" si="0"/>
        <v>0.10351035103510352</v>
      </c>
      <c r="H32" s="11">
        <v>4.4999999999999998E-2</v>
      </c>
    </row>
    <row r="33" spans="3:8">
      <c r="C33" s="9">
        <v>45947.457025463002</v>
      </c>
      <c r="D33" s="10">
        <v>28</v>
      </c>
      <c r="E33" s="11">
        <v>160</v>
      </c>
      <c r="F33" s="11">
        <v>115.2</v>
      </c>
      <c r="G33" s="12">
        <f t="shared" si="0"/>
        <v>0.38888888888888884</v>
      </c>
      <c r="H33" s="11">
        <v>4.4999999999999998E-2</v>
      </c>
    </row>
    <row r="34" spans="3:8">
      <c r="C34" s="9">
        <v>45947.457777777803</v>
      </c>
      <c r="D34" s="10">
        <v>29</v>
      </c>
      <c r="E34" s="11">
        <v>162</v>
      </c>
      <c r="F34" s="11">
        <v>116.7</v>
      </c>
      <c r="G34" s="12">
        <f t="shared" si="0"/>
        <v>0.38817480719794339</v>
      </c>
      <c r="H34" s="11">
        <v>4.4999999999999998E-2</v>
      </c>
    </row>
    <row r="35" spans="3:8">
      <c r="C35" s="9">
        <v>45947.458541666703</v>
      </c>
      <c r="D35" s="10">
        <v>30</v>
      </c>
      <c r="E35" s="11">
        <v>164</v>
      </c>
      <c r="F35" s="11">
        <v>110.8</v>
      </c>
      <c r="G35" s="12">
        <f t="shared" si="0"/>
        <v>0.48014440433213001</v>
      </c>
      <c r="H35" s="11">
        <v>4.4999999999999998E-2</v>
      </c>
    </row>
    <row r="36" spans="3:8">
      <c r="C36" s="9">
        <v>45947.459293981497</v>
      </c>
      <c r="D36" s="10">
        <v>31</v>
      </c>
      <c r="E36" s="11">
        <v>166</v>
      </c>
      <c r="F36" s="11">
        <v>117</v>
      </c>
      <c r="G36" s="12">
        <f t="shared" si="0"/>
        <v>0.41880341880341881</v>
      </c>
      <c r="H36" s="11">
        <v>4.4999999999999998E-2</v>
      </c>
    </row>
    <row r="37" spans="3:8">
      <c r="C37" s="9">
        <v>45947.460046296299</v>
      </c>
      <c r="D37" s="10">
        <v>32</v>
      </c>
      <c r="E37" s="11">
        <v>167.9</v>
      </c>
      <c r="F37" s="11">
        <v>115</v>
      </c>
      <c r="G37" s="12">
        <f t="shared" si="0"/>
        <v>0.46000000000000008</v>
      </c>
      <c r="H37" s="11">
        <v>4.4999999999999998E-2</v>
      </c>
    </row>
    <row r="38" spans="3:8">
      <c r="C38" s="9">
        <v>45947.4607986111</v>
      </c>
      <c r="D38" s="10">
        <v>33</v>
      </c>
      <c r="E38" s="11">
        <v>169.9</v>
      </c>
      <c r="F38" s="11">
        <v>116.1</v>
      </c>
      <c r="G38" s="12">
        <f t="shared" si="0"/>
        <v>0.463393626184324</v>
      </c>
      <c r="H38" s="11">
        <v>4.4999999999999998E-2</v>
      </c>
    </row>
    <row r="39" spans="3:8">
      <c r="C39" s="9">
        <v>45947.461550925902</v>
      </c>
      <c r="D39" s="10">
        <v>34</v>
      </c>
      <c r="E39" s="11">
        <v>172.1</v>
      </c>
      <c r="F39" s="11">
        <v>116</v>
      </c>
      <c r="G39" s="12">
        <f t="shared" si="0"/>
        <v>0.48362068965517235</v>
      </c>
      <c r="H39" s="11">
        <v>4.4999999999999998E-2</v>
      </c>
    </row>
    <row r="40" spans="3:8">
      <c r="C40" s="9">
        <v>45947.462303240703</v>
      </c>
      <c r="D40" s="10">
        <v>35</v>
      </c>
      <c r="E40" s="11">
        <v>174.1</v>
      </c>
      <c r="F40" s="11">
        <v>111</v>
      </c>
      <c r="G40" s="12">
        <f t="shared" si="0"/>
        <v>0.56846846846846844</v>
      </c>
      <c r="H40" s="11">
        <v>4.4999999999999998E-2</v>
      </c>
    </row>
    <row r="41" spans="3:8">
      <c r="C41" s="9">
        <v>45947.4630555556</v>
      </c>
      <c r="D41" s="10">
        <v>36</v>
      </c>
      <c r="E41" s="11">
        <v>176</v>
      </c>
      <c r="F41" s="11">
        <v>115</v>
      </c>
      <c r="G41" s="12">
        <f t="shared" si="0"/>
        <v>0.5304347826086957</v>
      </c>
      <c r="H41" s="11">
        <v>4.4999999999999998E-2</v>
      </c>
    </row>
    <row r="42" spans="3:8">
      <c r="C42" s="9">
        <v>45947.463807870401</v>
      </c>
      <c r="D42" s="10">
        <v>37</v>
      </c>
      <c r="E42" s="11">
        <v>178</v>
      </c>
      <c r="F42" s="11">
        <v>111.4</v>
      </c>
      <c r="G42" s="12">
        <f t="shared" si="0"/>
        <v>0.59784560143626564</v>
      </c>
      <c r="H42" s="11">
        <v>4.4999999999999998E-2</v>
      </c>
    </row>
    <row r="43" spans="3:8">
      <c r="C43" s="9">
        <v>45947.464560185203</v>
      </c>
      <c r="D43" s="10">
        <v>38</v>
      </c>
      <c r="E43" s="11">
        <v>180</v>
      </c>
      <c r="F43" s="11">
        <v>111.8</v>
      </c>
      <c r="G43" s="12">
        <f t="shared" si="0"/>
        <v>0.61001788908765653</v>
      </c>
      <c r="H43" s="11">
        <v>4.4999999999999998E-2</v>
      </c>
    </row>
    <row r="44" spans="3:8">
      <c r="C44" s="9">
        <v>45947.465312499997</v>
      </c>
      <c r="D44" s="10">
        <v>39</v>
      </c>
      <c r="E44" s="11">
        <v>182</v>
      </c>
      <c r="F44" s="11">
        <v>118.6</v>
      </c>
      <c r="G44" s="12">
        <f t="shared" si="0"/>
        <v>0.53456998313659365</v>
      </c>
      <c r="H44" s="11">
        <v>4.4999999999999998E-2</v>
      </c>
    </row>
    <row r="45" spans="3:8">
      <c r="C45" s="9">
        <v>45947.466064814798</v>
      </c>
      <c r="D45" s="10">
        <v>40</v>
      </c>
      <c r="E45" s="11">
        <v>184</v>
      </c>
      <c r="F45" s="11">
        <v>113.1</v>
      </c>
      <c r="G45" s="12">
        <f t="shared" si="0"/>
        <v>0.62687886825817873</v>
      </c>
      <c r="H45" s="11">
        <v>4.4999999999999998E-2</v>
      </c>
    </row>
    <row r="46" spans="3:8">
      <c r="C46" s="9">
        <v>45947.4668171296</v>
      </c>
      <c r="D46" s="10">
        <v>41</v>
      </c>
      <c r="E46" s="11">
        <v>185.9</v>
      </c>
      <c r="F46" s="11">
        <v>114.5</v>
      </c>
      <c r="G46" s="12">
        <f t="shared" si="0"/>
        <v>0.62358078602620093</v>
      </c>
      <c r="H46" s="11">
        <v>4.4999999999999998E-2</v>
      </c>
    </row>
    <row r="47" spans="3:8">
      <c r="C47" s="9">
        <v>45947.467569444401</v>
      </c>
      <c r="D47" s="10">
        <v>42</v>
      </c>
      <c r="E47" s="11">
        <v>187.9</v>
      </c>
      <c r="F47" s="11">
        <v>116.3</v>
      </c>
      <c r="G47" s="12">
        <f t="shared" si="0"/>
        <v>0.61564918314703365</v>
      </c>
      <c r="H47" s="11">
        <v>4.4999999999999998E-2</v>
      </c>
    </row>
    <row r="48" spans="3:8">
      <c r="C48" s="9">
        <v>45947.468321759297</v>
      </c>
      <c r="D48" s="10">
        <v>43</v>
      </c>
      <c r="E48" s="11">
        <v>190.1</v>
      </c>
      <c r="F48" s="11">
        <v>116.7</v>
      </c>
      <c r="G48" s="12">
        <f t="shared" si="0"/>
        <v>0.62896315338474718</v>
      </c>
      <c r="H48" s="11">
        <v>4.4999999999999998E-2</v>
      </c>
    </row>
    <row r="49" spans="3:8">
      <c r="C49" s="9">
        <v>45947.469074074099</v>
      </c>
      <c r="D49" s="10">
        <v>44</v>
      </c>
      <c r="E49" s="11">
        <v>192.1</v>
      </c>
      <c r="F49" s="11">
        <v>115.2</v>
      </c>
      <c r="G49" s="12">
        <f t="shared" si="0"/>
        <v>0.6675347222222221</v>
      </c>
      <c r="H49" s="11">
        <v>4.4999999999999998E-2</v>
      </c>
    </row>
    <row r="50" spans="3:8">
      <c r="C50" s="9">
        <v>45947.4698263889</v>
      </c>
      <c r="D50" s="10">
        <v>45</v>
      </c>
      <c r="E50" s="11">
        <v>194</v>
      </c>
      <c r="F50" s="11">
        <v>119.3</v>
      </c>
      <c r="G50" s="12">
        <f t="shared" si="0"/>
        <v>0.62615255658005031</v>
      </c>
      <c r="H50" s="11">
        <v>4.4999999999999998E-2</v>
      </c>
    </row>
    <row r="51" spans="3:8">
      <c r="C51" s="9">
        <v>45947.470578703702</v>
      </c>
      <c r="D51" s="10">
        <v>46</v>
      </c>
      <c r="E51" s="11">
        <v>196</v>
      </c>
      <c r="F51" s="11">
        <v>113.4</v>
      </c>
      <c r="G51" s="12">
        <f t="shared" si="0"/>
        <v>0.72839506172839497</v>
      </c>
      <c r="H51" s="11">
        <v>4.4999999999999998E-2</v>
      </c>
    </row>
    <row r="52" spans="3:8">
      <c r="C52" s="9">
        <v>45947.471331018503</v>
      </c>
      <c r="D52" s="10">
        <v>47</v>
      </c>
      <c r="E52" s="11">
        <v>198</v>
      </c>
      <c r="F52" s="11">
        <v>113.1</v>
      </c>
      <c r="G52" s="12">
        <f t="shared" si="0"/>
        <v>0.75066312997347484</v>
      </c>
      <c r="H52" s="11">
        <v>4.4999999999999998E-2</v>
      </c>
    </row>
    <row r="53" spans="3:8">
      <c r="C53" s="9">
        <v>45947.472083333298</v>
      </c>
      <c r="D53" s="10">
        <v>48</v>
      </c>
      <c r="E53" s="11">
        <v>200</v>
      </c>
      <c r="F53" s="11">
        <v>112.7</v>
      </c>
      <c r="G53" s="12">
        <f t="shared" si="0"/>
        <v>0.77462289263531492</v>
      </c>
      <c r="H53" s="11">
        <v>4.4999999999999998E-2</v>
      </c>
    </row>
    <row r="54" spans="3:8">
      <c r="C54" s="9">
        <v>45947.472847222198</v>
      </c>
      <c r="D54" s="10">
        <v>49</v>
      </c>
      <c r="E54" s="11">
        <v>200</v>
      </c>
      <c r="F54" s="11">
        <v>117.1</v>
      </c>
      <c r="G54" s="12">
        <f t="shared" si="0"/>
        <v>0.70794192997438099</v>
      </c>
      <c r="H54" s="11">
        <v>4.4999999999999998E-2</v>
      </c>
    </row>
    <row r="55" spans="3:8">
      <c r="C55" s="9">
        <v>45947.473599536999</v>
      </c>
      <c r="D55" s="10">
        <v>50</v>
      </c>
      <c r="E55" s="11">
        <v>200</v>
      </c>
      <c r="F55" s="11">
        <v>119.5</v>
      </c>
      <c r="G55" s="12">
        <f t="shared" si="0"/>
        <v>0.67364016736401677</v>
      </c>
      <c r="H55" s="11">
        <v>4.4999999999999998E-2</v>
      </c>
    </row>
    <row r="56" spans="3:8">
      <c r="C56" s="9">
        <v>45947.474351851903</v>
      </c>
      <c r="D56" s="10">
        <v>51</v>
      </c>
      <c r="E56" s="11">
        <v>198</v>
      </c>
      <c r="F56" s="11">
        <v>116.3</v>
      </c>
      <c r="G56" s="12">
        <f t="shared" si="0"/>
        <v>0.70249355116079115</v>
      </c>
      <c r="H56" s="11">
        <v>4.4999999999999998E-2</v>
      </c>
    </row>
    <row r="57" spans="3:8">
      <c r="C57" s="9">
        <v>45947.475104166697</v>
      </c>
      <c r="D57" s="10">
        <v>52</v>
      </c>
      <c r="E57" s="11">
        <v>120.2</v>
      </c>
      <c r="F57" s="11">
        <v>109.9</v>
      </c>
      <c r="G57" s="12">
        <f t="shared" si="0"/>
        <v>9.372156505914464E-2</v>
      </c>
      <c r="H57" s="11">
        <v>4.4999999999999998E-2</v>
      </c>
    </row>
    <row r="58" spans="3:8">
      <c r="C58" s="9">
        <v>45947.475856481498</v>
      </c>
      <c r="D58" s="10">
        <v>53</v>
      </c>
      <c r="E58" s="11">
        <v>121.5</v>
      </c>
      <c r="F58" s="11">
        <v>114.4</v>
      </c>
      <c r="G58" s="12">
        <f t="shared" si="0"/>
        <v>6.2062937062937008E-2</v>
      </c>
      <c r="H58" s="11">
        <v>4.4999999999999998E-2</v>
      </c>
    </row>
    <row r="59" spans="3:8">
      <c r="C59" s="9">
        <v>45947.4766087963</v>
      </c>
      <c r="D59" s="10">
        <v>54</v>
      </c>
      <c r="E59" s="11">
        <v>122.6</v>
      </c>
      <c r="F59" s="11">
        <v>113.1</v>
      </c>
      <c r="G59" s="12">
        <f t="shared" si="0"/>
        <v>8.3996463306808142E-2</v>
      </c>
      <c r="H59" s="11">
        <v>4.4999999999999998E-2</v>
      </c>
    </row>
    <row r="60" spans="3:8">
      <c r="C60" s="9">
        <v>45947.477361111101</v>
      </c>
      <c r="D60" s="10">
        <v>55</v>
      </c>
      <c r="E60" s="11">
        <v>119.7</v>
      </c>
      <c r="F60" s="11">
        <v>115.7</v>
      </c>
      <c r="G60" s="12">
        <f t="shared" si="0"/>
        <v>3.4572169403630074E-2</v>
      </c>
      <c r="H60" s="11">
        <v>0</v>
      </c>
    </row>
    <row r="61" spans="3:8">
      <c r="C61" s="9">
        <v>45947.478113425903</v>
      </c>
      <c r="D61" s="10">
        <v>56</v>
      </c>
      <c r="E61" s="11">
        <v>119.3</v>
      </c>
      <c r="F61" s="11">
        <v>117.9</v>
      </c>
      <c r="G61" s="12">
        <f t="shared" si="0"/>
        <v>1.1874469889736993E-2</v>
      </c>
      <c r="H61" s="11">
        <v>0</v>
      </c>
    </row>
    <row r="62" spans="3:8">
      <c r="C62" s="9">
        <v>45947.478865740697</v>
      </c>
      <c r="D62" s="10">
        <v>57</v>
      </c>
      <c r="E62" s="11">
        <v>118.8</v>
      </c>
      <c r="F62" s="11">
        <v>111.3</v>
      </c>
      <c r="G62" s="12">
        <f t="shared" si="0"/>
        <v>6.7385444743935305E-2</v>
      </c>
      <c r="H62" s="11">
        <v>0</v>
      </c>
    </row>
    <row r="63" spans="3:8">
      <c r="C63" s="9">
        <v>45947.4796180556</v>
      </c>
      <c r="D63" s="10">
        <v>58</v>
      </c>
      <c r="E63" s="11">
        <v>119.9</v>
      </c>
      <c r="F63" s="11">
        <v>114.8</v>
      </c>
      <c r="G63" s="12">
        <f t="shared" si="0"/>
        <v>4.4425087108014009E-2</v>
      </c>
      <c r="H63" s="11">
        <v>0</v>
      </c>
    </row>
    <row r="64" spans="3:8">
      <c r="C64" s="9">
        <v>45947.480370370402</v>
      </c>
      <c r="D64" s="10">
        <v>59</v>
      </c>
      <c r="E64" s="11">
        <v>121.1</v>
      </c>
      <c r="F64" s="11">
        <v>109.9</v>
      </c>
      <c r="G64" s="12">
        <f t="shared" si="0"/>
        <v>0.1019108280254776</v>
      </c>
      <c r="H64" s="11">
        <v>0</v>
      </c>
    </row>
    <row r="65" spans="3:8">
      <c r="C65" s="9">
        <v>45947.481122685203</v>
      </c>
      <c r="D65" s="10">
        <v>60</v>
      </c>
      <c r="E65" s="11">
        <v>120.2</v>
      </c>
      <c r="F65" s="11">
        <v>113</v>
      </c>
      <c r="G65" s="12">
        <f t="shared" si="0"/>
        <v>6.3716814159292062E-2</v>
      </c>
      <c r="H65" s="11">
        <v>0</v>
      </c>
    </row>
    <row r="66" spans="3:8">
      <c r="C66" s="9">
        <v>45947.481874999998</v>
      </c>
      <c r="D66" s="10">
        <v>61</v>
      </c>
      <c r="E66" s="11">
        <v>120.2</v>
      </c>
      <c r="F66" s="11">
        <v>114.1</v>
      </c>
      <c r="G66" s="12">
        <f t="shared" si="0"/>
        <v>5.3461875547765193E-2</v>
      </c>
      <c r="H66" s="11">
        <v>0</v>
      </c>
    </row>
    <row r="67" spans="3:8">
      <c r="C67" s="9">
        <v>45947.482627314799</v>
      </c>
      <c r="D67" s="10">
        <v>62</v>
      </c>
      <c r="E67" s="11">
        <v>118.8</v>
      </c>
      <c r="F67" s="11">
        <v>111.5</v>
      </c>
      <c r="G67" s="12">
        <f t="shared" si="0"/>
        <v>6.5470852017937189E-2</v>
      </c>
      <c r="H67" s="11">
        <v>0</v>
      </c>
    </row>
    <row r="68" spans="3:8">
      <c r="C68" s="9">
        <v>45947.483379629601</v>
      </c>
      <c r="D68" s="10">
        <v>63</v>
      </c>
      <c r="E68" s="11">
        <v>118.1</v>
      </c>
      <c r="F68" s="11">
        <v>110.9</v>
      </c>
      <c r="G68" s="12">
        <f t="shared" si="0"/>
        <v>6.4923354373309178E-2</v>
      </c>
      <c r="H68" s="11">
        <v>0</v>
      </c>
    </row>
    <row r="69" spans="3:8">
      <c r="C69" s="9">
        <v>45947.484131944402</v>
      </c>
      <c r="D69" s="10">
        <v>64</v>
      </c>
      <c r="E69" s="11">
        <v>118.1</v>
      </c>
      <c r="F69" s="11">
        <v>114.9</v>
      </c>
      <c r="G69" s="12">
        <f t="shared" si="0"/>
        <v>2.78503046127066E-2</v>
      </c>
      <c r="H69" s="11">
        <v>0</v>
      </c>
    </row>
    <row r="70" spans="3:8">
      <c r="C70" s="9">
        <v>45947.484884259298</v>
      </c>
      <c r="D70" s="10">
        <v>65</v>
      </c>
      <c r="E70" s="11">
        <v>117.7</v>
      </c>
      <c r="F70" s="11">
        <v>109.6</v>
      </c>
      <c r="G70" s="12">
        <f t="shared" ref="G70:G133" si="1">(E70-F70)/F70</f>
        <v>7.3905109489051171E-2</v>
      </c>
      <c r="H70" s="11">
        <v>0</v>
      </c>
    </row>
    <row r="71" spans="3:8">
      <c r="C71" s="9">
        <v>45947.4856365741</v>
      </c>
      <c r="D71" s="10">
        <v>66</v>
      </c>
      <c r="E71" s="11">
        <v>116.6</v>
      </c>
      <c r="F71" s="11">
        <v>116.3</v>
      </c>
      <c r="G71" s="12">
        <f t="shared" si="1"/>
        <v>2.5795356835769316E-3</v>
      </c>
      <c r="H71" s="11">
        <v>0</v>
      </c>
    </row>
    <row r="72" spans="3:8">
      <c r="C72" s="9">
        <v>45947.486388888901</v>
      </c>
      <c r="D72" s="10">
        <v>67</v>
      </c>
      <c r="E72" s="11">
        <v>116.8</v>
      </c>
      <c r="F72" s="11">
        <v>118.3</v>
      </c>
      <c r="G72" s="12">
        <f t="shared" si="1"/>
        <v>-1.2679628064243449E-2</v>
      </c>
      <c r="H72" s="11">
        <v>0</v>
      </c>
    </row>
    <row r="73" spans="3:8">
      <c r="C73" s="9">
        <v>45947.487141203703</v>
      </c>
      <c r="D73" s="10">
        <v>68</v>
      </c>
      <c r="E73" s="11">
        <v>116.6</v>
      </c>
      <c r="F73" s="11">
        <v>113.8</v>
      </c>
      <c r="G73" s="12">
        <f t="shared" si="1"/>
        <v>2.4604569420035124E-2</v>
      </c>
      <c r="H73" s="11">
        <v>0</v>
      </c>
    </row>
    <row r="74" spans="3:8">
      <c r="C74" s="9">
        <v>45947.487893518497</v>
      </c>
      <c r="D74" s="10">
        <v>69</v>
      </c>
      <c r="E74" s="13">
        <v>118.3</v>
      </c>
      <c r="F74" s="13">
        <v>112.3</v>
      </c>
      <c r="G74" s="12">
        <f t="shared" si="1"/>
        <v>5.3428317008014252E-2</v>
      </c>
      <c r="H74" s="13">
        <v>0</v>
      </c>
    </row>
    <row r="75" spans="3:8">
      <c r="C75" s="9">
        <v>45947.488645833299</v>
      </c>
      <c r="D75" s="10">
        <v>70</v>
      </c>
      <c r="E75" s="13">
        <v>120.1</v>
      </c>
      <c r="F75" s="13">
        <v>116.3</v>
      </c>
      <c r="G75" s="12">
        <f t="shared" si="1"/>
        <v>3.2674118658641421E-2</v>
      </c>
      <c r="H75" s="13">
        <v>2.0799999999999999E-2</v>
      </c>
    </row>
    <row r="76" spans="3:8">
      <c r="C76" s="9">
        <v>45947.489398148202</v>
      </c>
      <c r="D76" s="10">
        <v>71</v>
      </c>
      <c r="E76" s="13">
        <v>119.7</v>
      </c>
      <c r="F76" s="13">
        <v>117.4</v>
      </c>
      <c r="G76" s="12">
        <f t="shared" si="1"/>
        <v>1.9591141396933534E-2</v>
      </c>
      <c r="H76" s="13">
        <v>2.0799999999999999E-2</v>
      </c>
    </row>
    <row r="77" spans="3:8">
      <c r="C77" s="9">
        <v>45947.490150463003</v>
      </c>
      <c r="D77" s="10">
        <v>72</v>
      </c>
      <c r="E77" s="13">
        <v>119.5</v>
      </c>
      <c r="F77" s="13">
        <v>113.1</v>
      </c>
      <c r="G77" s="12">
        <f t="shared" si="1"/>
        <v>5.6587091069849743E-2</v>
      </c>
      <c r="H77" s="13">
        <v>2.0799999999999999E-2</v>
      </c>
    </row>
    <row r="78" spans="3:8">
      <c r="C78" s="9">
        <v>45947.490902777798</v>
      </c>
      <c r="D78" s="10">
        <v>73</v>
      </c>
      <c r="E78" s="13">
        <v>119.3</v>
      </c>
      <c r="F78" s="13">
        <v>111.1</v>
      </c>
      <c r="G78" s="12">
        <f t="shared" si="1"/>
        <v>7.380738073807383E-2</v>
      </c>
      <c r="H78" s="13">
        <v>2.0799999999999999E-2</v>
      </c>
    </row>
    <row r="79" spans="3:8">
      <c r="C79" s="9">
        <v>45947.4916435185</v>
      </c>
      <c r="D79" s="10">
        <v>74</v>
      </c>
      <c r="E79" s="13">
        <v>119.9</v>
      </c>
      <c r="F79" s="13">
        <v>113.4</v>
      </c>
      <c r="G79" s="12">
        <f t="shared" si="1"/>
        <v>5.7319223985890649E-2</v>
      </c>
      <c r="H79" s="13">
        <v>2.0799999999999999E-2</v>
      </c>
    </row>
    <row r="80" spans="3:8">
      <c r="C80" s="9">
        <v>45947.492407407401</v>
      </c>
      <c r="D80" s="10">
        <v>75</v>
      </c>
      <c r="E80" s="13">
        <v>119.2</v>
      </c>
      <c r="F80" s="13">
        <v>112.4</v>
      </c>
      <c r="G80" s="12">
        <f t="shared" si="1"/>
        <v>6.0498220640569367E-2</v>
      </c>
      <c r="H80" s="13">
        <v>0</v>
      </c>
    </row>
    <row r="81" spans="3:8">
      <c r="C81" s="9">
        <v>45947.493159722202</v>
      </c>
      <c r="D81" s="10">
        <v>76</v>
      </c>
      <c r="E81" s="13">
        <v>117.9</v>
      </c>
      <c r="F81" s="13">
        <v>115</v>
      </c>
      <c r="G81" s="12">
        <f t="shared" si="1"/>
        <v>2.5217391304347875E-2</v>
      </c>
      <c r="H81" s="13">
        <v>0</v>
      </c>
    </row>
    <row r="82" spans="3:8">
      <c r="C82" s="9">
        <v>45947.493923611102</v>
      </c>
      <c r="D82" s="10">
        <v>77</v>
      </c>
      <c r="E82" s="13">
        <v>116.6</v>
      </c>
      <c r="F82" s="13">
        <v>115</v>
      </c>
      <c r="G82" s="12">
        <f t="shared" si="1"/>
        <v>1.391304347826082E-2</v>
      </c>
      <c r="H82" s="13">
        <v>0</v>
      </c>
    </row>
    <row r="83" spans="3:8">
      <c r="C83" s="9">
        <v>45947.494675925896</v>
      </c>
      <c r="D83" s="10">
        <v>78</v>
      </c>
      <c r="E83" s="13">
        <v>118.3</v>
      </c>
      <c r="F83" s="13">
        <v>110.1</v>
      </c>
      <c r="G83" s="12">
        <f t="shared" si="1"/>
        <v>7.4477747502270694E-2</v>
      </c>
      <c r="H83" s="13">
        <v>0</v>
      </c>
    </row>
    <row r="84" spans="3:8">
      <c r="C84" s="9">
        <v>45947.495428240698</v>
      </c>
      <c r="D84" s="10">
        <v>79</v>
      </c>
      <c r="E84" s="13">
        <v>120.4</v>
      </c>
      <c r="F84" s="13">
        <v>116.2</v>
      </c>
      <c r="G84" s="12">
        <f t="shared" si="1"/>
        <v>3.6144578313253038E-2</v>
      </c>
      <c r="H84" s="13">
        <v>0</v>
      </c>
    </row>
    <row r="85" spans="3:8">
      <c r="C85" s="9">
        <v>45947.496180555601</v>
      </c>
      <c r="D85" s="10">
        <v>80</v>
      </c>
      <c r="E85" s="13">
        <v>122.4</v>
      </c>
      <c r="F85" s="13">
        <v>107.3</v>
      </c>
      <c r="G85" s="12">
        <f t="shared" si="1"/>
        <v>0.14072693383038218</v>
      </c>
      <c r="H85" s="13">
        <v>2.0799999999999999E-2</v>
      </c>
    </row>
    <row r="86" spans="3:8">
      <c r="C86" s="9">
        <v>45947.496932870403</v>
      </c>
      <c r="D86" s="10">
        <v>81</v>
      </c>
      <c r="E86" s="13">
        <v>124.4</v>
      </c>
      <c r="F86" s="13">
        <v>107.2</v>
      </c>
      <c r="G86" s="12">
        <f t="shared" si="1"/>
        <v>0.16044776119402987</v>
      </c>
      <c r="H86" s="13">
        <v>2.0799999999999999E-2</v>
      </c>
    </row>
    <row r="87" spans="3:8">
      <c r="C87" s="9">
        <v>45947.497685185197</v>
      </c>
      <c r="D87" s="10">
        <v>82</v>
      </c>
      <c r="E87" s="13">
        <v>126.4</v>
      </c>
      <c r="F87" s="13">
        <v>113.7</v>
      </c>
      <c r="G87" s="12">
        <f t="shared" si="1"/>
        <v>0.11169744942832016</v>
      </c>
      <c r="H87" s="13">
        <v>2.0799999999999999E-2</v>
      </c>
    </row>
    <row r="88" spans="3:8">
      <c r="C88" s="9">
        <v>45947.498437499999</v>
      </c>
      <c r="D88" s="10">
        <v>83</v>
      </c>
      <c r="E88" s="13">
        <v>128.30000000000001</v>
      </c>
      <c r="F88" s="13">
        <v>109</v>
      </c>
      <c r="G88" s="12">
        <f t="shared" si="1"/>
        <v>0.17706422018348633</v>
      </c>
      <c r="H88" s="13">
        <v>2.0799999999999999E-2</v>
      </c>
    </row>
    <row r="89" spans="3:8">
      <c r="C89" s="9">
        <v>45947.4991898148</v>
      </c>
      <c r="D89" s="10">
        <v>84</v>
      </c>
      <c r="E89" s="13">
        <v>130.30000000000001</v>
      </c>
      <c r="F89" s="13">
        <v>106.1</v>
      </c>
      <c r="G89" s="12">
        <f t="shared" si="1"/>
        <v>0.22808671065033004</v>
      </c>
      <c r="H89" s="13">
        <v>2.0799999999999999E-2</v>
      </c>
    </row>
    <row r="90" spans="3:8">
      <c r="C90" s="9">
        <v>45947.499942129602</v>
      </c>
      <c r="D90" s="10">
        <v>85</v>
      </c>
      <c r="E90" s="13">
        <v>132.30000000000001</v>
      </c>
      <c r="F90" s="13">
        <v>112.7</v>
      </c>
      <c r="G90" s="12">
        <f t="shared" si="1"/>
        <v>0.17391304347826095</v>
      </c>
      <c r="H90" s="13">
        <v>2.0799999999999999E-2</v>
      </c>
    </row>
    <row r="91" spans="3:8">
      <c r="C91" s="9">
        <v>45947.500694444403</v>
      </c>
      <c r="D91" s="10">
        <v>86</v>
      </c>
      <c r="E91" s="13">
        <v>134.30000000000001</v>
      </c>
      <c r="F91" s="13">
        <v>106.9</v>
      </c>
      <c r="G91" s="12">
        <f t="shared" si="1"/>
        <v>0.25631431244153419</v>
      </c>
      <c r="H91" s="13">
        <v>2.0799999999999999E-2</v>
      </c>
    </row>
    <row r="92" spans="3:8">
      <c r="C92" s="9">
        <v>45947.501446759299</v>
      </c>
      <c r="D92" s="10">
        <v>87</v>
      </c>
      <c r="E92" s="13">
        <v>136.30000000000001</v>
      </c>
      <c r="F92" s="13">
        <v>107.6</v>
      </c>
      <c r="G92" s="12">
        <f t="shared" si="1"/>
        <v>0.26672862453531615</v>
      </c>
      <c r="H92" s="13">
        <v>2.0799999999999999E-2</v>
      </c>
    </row>
    <row r="93" spans="3:8">
      <c r="C93" s="9">
        <v>45947.502199074101</v>
      </c>
      <c r="D93" s="10">
        <v>88</v>
      </c>
      <c r="E93" s="13">
        <v>112</v>
      </c>
      <c r="F93" s="13">
        <v>105.3</v>
      </c>
      <c r="G93" s="12">
        <f t="shared" si="1"/>
        <v>6.3627730294396986E-2</v>
      </c>
      <c r="H93" s="13">
        <v>2.0799999999999999E-2</v>
      </c>
    </row>
    <row r="94" spans="3:8">
      <c r="C94" s="9">
        <v>45947.502951388902</v>
      </c>
      <c r="D94" s="10">
        <v>89</v>
      </c>
      <c r="E94" s="13">
        <v>112.3</v>
      </c>
      <c r="F94" s="13">
        <v>113.4</v>
      </c>
      <c r="G94" s="12">
        <f t="shared" si="1"/>
        <v>-9.7001763668431076E-3</v>
      </c>
      <c r="H94" s="13">
        <v>2.0799999999999999E-2</v>
      </c>
    </row>
    <row r="95" spans="3:8">
      <c r="C95" s="9">
        <v>45947.503703703696</v>
      </c>
      <c r="D95" s="10">
        <v>90</v>
      </c>
      <c r="E95" s="13">
        <v>144.4</v>
      </c>
      <c r="F95" s="13">
        <v>110.6</v>
      </c>
      <c r="G95" s="12">
        <f t="shared" si="1"/>
        <v>0.30560578661844495</v>
      </c>
      <c r="H95" s="13">
        <v>2.0799999999999999E-2</v>
      </c>
    </row>
    <row r="96" spans="3:8">
      <c r="C96" s="9">
        <v>45947.504456018498</v>
      </c>
      <c r="D96" s="10">
        <v>91</v>
      </c>
      <c r="E96" s="13">
        <v>146.30000000000001</v>
      </c>
      <c r="F96" s="13">
        <v>110.1</v>
      </c>
      <c r="G96" s="12">
        <f t="shared" si="1"/>
        <v>0.3287920072661219</v>
      </c>
      <c r="H96" s="13">
        <v>2.0799999999999999E-2</v>
      </c>
    </row>
    <row r="97" spans="3:8">
      <c r="C97" s="9">
        <v>45947.505208333299</v>
      </c>
      <c r="D97" s="10">
        <v>92</v>
      </c>
      <c r="E97" s="13">
        <v>148.30000000000001</v>
      </c>
      <c r="F97" s="13">
        <v>104</v>
      </c>
      <c r="G97" s="12">
        <f t="shared" si="1"/>
        <v>0.42596153846153856</v>
      </c>
      <c r="H97" s="13">
        <v>2.0799999999999999E-2</v>
      </c>
    </row>
    <row r="98" spans="3:8">
      <c r="C98" s="9">
        <v>45947.505960648101</v>
      </c>
      <c r="D98" s="10">
        <v>93</v>
      </c>
      <c r="E98" s="13">
        <v>150.30000000000001</v>
      </c>
      <c r="F98" s="13">
        <v>108.7</v>
      </c>
      <c r="G98" s="12">
        <f t="shared" si="1"/>
        <v>0.38270469181232758</v>
      </c>
      <c r="H98" s="13">
        <v>2.0799999999999999E-2</v>
      </c>
    </row>
    <row r="99" spans="3:8">
      <c r="C99" s="9">
        <v>45947.506724537001</v>
      </c>
      <c r="D99" s="10">
        <v>94</v>
      </c>
      <c r="E99" s="13">
        <v>152.30000000000001</v>
      </c>
      <c r="F99" s="13">
        <v>105.6</v>
      </c>
      <c r="G99" s="12">
        <f t="shared" si="1"/>
        <v>0.44223484848484867</v>
      </c>
      <c r="H99" s="13">
        <v>2.0799999999999999E-2</v>
      </c>
    </row>
    <row r="100" spans="3:8">
      <c r="C100" s="9">
        <v>45947.507465277798</v>
      </c>
      <c r="D100" s="10">
        <v>95</v>
      </c>
      <c r="E100" s="13">
        <v>154.30000000000001</v>
      </c>
      <c r="F100" s="13">
        <v>110</v>
      </c>
      <c r="G100" s="12">
        <f t="shared" si="1"/>
        <v>0.40272727272727282</v>
      </c>
      <c r="H100" s="13">
        <v>2.0799999999999999E-2</v>
      </c>
    </row>
    <row r="101" spans="3:8">
      <c r="C101" s="9">
        <v>45947.508229166699</v>
      </c>
      <c r="D101" s="10">
        <v>96</v>
      </c>
      <c r="E101" s="13">
        <v>156.4</v>
      </c>
      <c r="F101" s="13">
        <v>109.1</v>
      </c>
      <c r="G101" s="12">
        <f t="shared" si="1"/>
        <v>0.43354720439963351</v>
      </c>
      <c r="H101" s="13">
        <v>2.0799999999999999E-2</v>
      </c>
    </row>
    <row r="102" spans="3:8">
      <c r="C102" s="9">
        <v>45947.5089814815</v>
      </c>
      <c r="D102" s="10">
        <v>97</v>
      </c>
      <c r="E102" s="13">
        <v>158.4</v>
      </c>
      <c r="F102" s="13">
        <v>105.9</v>
      </c>
      <c r="G102" s="12">
        <f t="shared" si="1"/>
        <v>0.49575070821529743</v>
      </c>
      <c r="H102" s="13">
        <v>2.0799999999999999E-2</v>
      </c>
    </row>
    <row r="103" spans="3:8">
      <c r="C103" s="9">
        <v>45947.509733796302</v>
      </c>
      <c r="D103" s="10">
        <v>98</v>
      </c>
      <c r="E103" s="13">
        <v>160.4</v>
      </c>
      <c r="F103" s="13">
        <v>107.9</v>
      </c>
      <c r="G103" s="12">
        <f t="shared" si="1"/>
        <v>0.48656163113994438</v>
      </c>
      <c r="H103" s="13">
        <v>2.0799999999999999E-2</v>
      </c>
    </row>
    <row r="104" spans="3:8">
      <c r="C104" s="9">
        <v>45947.510474536997</v>
      </c>
      <c r="D104" s="10">
        <v>99</v>
      </c>
      <c r="E104" s="13">
        <v>162.4</v>
      </c>
      <c r="F104" s="13">
        <v>111.8</v>
      </c>
      <c r="G104" s="12">
        <f t="shared" si="1"/>
        <v>0.45259391771019686</v>
      </c>
      <c r="H104" s="13">
        <v>2.0799999999999999E-2</v>
      </c>
    </row>
    <row r="105" spans="3:8">
      <c r="C105" s="9">
        <v>45947.511226851799</v>
      </c>
      <c r="D105" s="10">
        <v>100</v>
      </c>
      <c r="E105" s="13">
        <v>164.3</v>
      </c>
      <c r="F105" s="13">
        <v>109.5</v>
      </c>
      <c r="G105" s="12">
        <f t="shared" si="1"/>
        <v>0.50045662100456634</v>
      </c>
      <c r="H105" s="13">
        <v>4.4999999999999998E-2</v>
      </c>
    </row>
    <row r="106" spans="3:8">
      <c r="C106" s="9">
        <v>45947.511979166702</v>
      </c>
      <c r="D106" s="10">
        <v>101</v>
      </c>
      <c r="E106" s="13">
        <v>166.3</v>
      </c>
      <c r="F106" s="13">
        <v>111.1</v>
      </c>
      <c r="G106" s="12">
        <f t="shared" si="1"/>
        <v>0.49684968496849702</v>
      </c>
      <c r="H106" s="13">
        <v>4.4999999999999998E-2</v>
      </c>
    </row>
    <row r="107" spans="3:8">
      <c r="C107" s="9">
        <v>45947.512731481504</v>
      </c>
      <c r="D107" s="10">
        <v>102</v>
      </c>
      <c r="E107" s="13">
        <v>168.3</v>
      </c>
      <c r="F107" s="13">
        <v>106.9</v>
      </c>
      <c r="G107" s="12">
        <f t="shared" si="1"/>
        <v>0.57436856875584663</v>
      </c>
      <c r="H107" s="13">
        <v>4.4999999999999998E-2</v>
      </c>
    </row>
    <row r="108" spans="3:8">
      <c r="C108" s="9">
        <v>45947.513483796298</v>
      </c>
      <c r="D108" s="10">
        <v>103</v>
      </c>
      <c r="E108" s="13">
        <v>170.3</v>
      </c>
      <c r="F108" s="13">
        <v>111.1</v>
      </c>
      <c r="G108" s="12">
        <f t="shared" si="1"/>
        <v>0.53285328532853304</v>
      </c>
      <c r="H108" s="13">
        <v>4.4999999999999998E-2</v>
      </c>
    </row>
    <row r="109" spans="3:8">
      <c r="C109" s="9">
        <v>45947.514236111099</v>
      </c>
      <c r="D109" s="10">
        <v>104</v>
      </c>
      <c r="E109" s="13">
        <v>172.3</v>
      </c>
      <c r="F109" s="13">
        <v>102.6</v>
      </c>
      <c r="G109" s="12">
        <f t="shared" si="1"/>
        <v>0.67933723196881113</v>
      </c>
      <c r="H109" s="13">
        <v>4.4999999999999998E-2</v>
      </c>
    </row>
    <row r="110" spans="3:8">
      <c r="C110" s="9">
        <v>45947.514999999999</v>
      </c>
      <c r="D110" s="10">
        <v>105</v>
      </c>
      <c r="E110" s="13">
        <v>174.4</v>
      </c>
      <c r="F110" s="13">
        <v>105</v>
      </c>
      <c r="G110" s="12">
        <f t="shared" si="1"/>
        <v>0.66095238095238096</v>
      </c>
      <c r="H110" s="13">
        <v>4.4999999999999998E-2</v>
      </c>
    </row>
    <row r="111" spans="3:8">
      <c r="C111" s="9">
        <v>45947.515752314801</v>
      </c>
      <c r="D111" s="10">
        <v>106</v>
      </c>
      <c r="E111" s="13">
        <v>176.4</v>
      </c>
      <c r="F111" s="13">
        <v>108.5</v>
      </c>
      <c r="G111" s="12">
        <f t="shared" si="1"/>
        <v>0.62580645161290327</v>
      </c>
      <c r="H111" s="13">
        <v>4.4999999999999998E-2</v>
      </c>
    </row>
    <row r="112" spans="3:8">
      <c r="C112" s="9">
        <v>45947.516504629602</v>
      </c>
      <c r="D112" s="10">
        <v>107</v>
      </c>
      <c r="E112" s="13">
        <v>178.4</v>
      </c>
      <c r="F112" s="13">
        <v>106</v>
      </c>
      <c r="G112" s="12">
        <f t="shared" si="1"/>
        <v>0.68301886792452837</v>
      </c>
      <c r="H112" s="13">
        <v>4.4999999999999998E-2</v>
      </c>
    </row>
    <row r="113" spans="3:8">
      <c r="C113" s="9">
        <v>45947.517256944397</v>
      </c>
      <c r="D113" s="10">
        <v>108</v>
      </c>
      <c r="E113" s="13">
        <v>180.4</v>
      </c>
      <c r="F113" s="13">
        <v>105</v>
      </c>
      <c r="G113" s="12">
        <f t="shared" si="1"/>
        <v>0.71809523809523812</v>
      </c>
      <c r="H113" s="13">
        <v>4.4999999999999998E-2</v>
      </c>
    </row>
    <row r="114" spans="3:8">
      <c r="C114" s="9">
        <v>45947.5180092593</v>
      </c>
      <c r="D114" s="10">
        <v>109</v>
      </c>
      <c r="E114" s="13">
        <v>182.3</v>
      </c>
      <c r="F114" s="13">
        <v>105.8</v>
      </c>
      <c r="G114" s="12">
        <f t="shared" si="1"/>
        <v>0.72306238185255212</v>
      </c>
      <c r="H114" s="13">
        <v>4.4999999999999998E-2</v>
      </c>
    </row>
    <row r="115" spans="3:8">
      <c r="C115" s="9">
        <v>45947.518761574102</v>
      </c>
      <c r="D115" s="10">
        <v>110</v>
      </c>
      <c r="E115" s="13">
        <v>184.3</v>
      </c>
      <c r="F115" s="13">
        <v>104.5</v>
      </c>
      <c r="G115" s="12">
        <f t="shared" si="1"/>
        <v>0.76363636363636378</v>
      </c>
      <c r="H115" s="13">
        <v>4.4999999999999998E-2</v>
      </c>
    </row>
    <row r="116" spans="3:8">
      <c r="C116" s="9">
        <v>45947.519513888903</v>
      </c>
      <c r="D116" s="10">
        <v>111</v>
      </c>
      <c r="E116" s="13">
        <v>186.3</v>
      </c>
      <c r="F116" s="13">
        <v>102.1</v>
      </c>
      <c r="G116" s="12">
        <f t="shared" si="1"/>
        <v>0.82468168462291891</v>
      </c>
      <c r="H116" s="13">
        <v>4.4999999999999998E-2</v>
      </c>
    </row>
    <row r="117" spans="3:8">
      <c r="C117" s="9">
        <v>45947.520266203697</v>
      </c>
      <c r="D117" s="10">
        <v>112</v>
      </c>
      <c r="E117" s="13">
        <v>188.3</v>
      </c>
      <c r="F117" s="13">
        <v>100</v>
      </c>
      <c r="G117" s="12">
        <f t="shared" si="1"/>
        <v>0.88300000000000012</v>
      </c>
      <c r="H117" s="13">
        <v>4.4999999999999998E-2</v>
      </c>
    </row>
    <row r="118" spans="3:8">
      <c r="C118" s="9">
        <v>45947.521018518499</v>
      </c>
      <c r="D118" s="10">
        <v>113</v>
      </c>
      <c r="E118" s="13">
        <v>190.3</v>
      </c>
      <c r="F118" s="13">
        <v>104.3</v>
      </c>
      <c r="G118" s="12">
        <f t="shared" si="1"/>
        <v>0.82454458293384481</v>
      </c>
      <c r="H118" s="13">
        <v>4.4999999999999998E-2</v>
      </c>
    </row>
    <row r="119" spans="3:8">
      <c r="C119" s="9">
        <v>45947.521759259304</v>
      </c>
      <c r="D119" s="10">
        <v>114</v>
      </c>
      <c r="E119" s="13">
        <v>106.7</v>
      </c>
      <c r="F119" s="13">
        <v>108.2</v>
      </c>
      <c r="G119" s="12">
        <f t="shared" si="1"/>
        <v>-1.3863216266173753E-2</v>
      </c>
      <c r="H119" s="13">
        <v>4.4999999999999998E-2</v>
      </c>
    </row>
    <row r="120" spans="3:8">
      <c r="C120" s="9">
        <v>45947.522511574098</v>
      </c>
      <c r="D120" s="10">
        <v>115</v>
      </c>
      <c r="E120" s="13">
        <v>104.9</v>
      </c>
      <c r="F120" s="13">
        <v>103.6</v>
      </c>
      <c r="G120" s="12">
        <f t="shared" si="1"/>
        <v>1.2548262548262658E-2</v>
      </c>
      <c r="H120" s="13">
        <v>0</v>
      </c>
    </row>
    <row r="121" spans="3:8">
      <c r="C121" s="9">
        <v>45947.523275462998</v>
      </c>
      <c r="D121" s="10">
        <v>116</v>
      </c>
      <c r="E121" s="13">
        <v>104</v>
      </c>
      <c r="F121" s="13">
        <v>102</v>
      </c>
      <c r="G121" s="12">
        <f t="shared" si="1"/>
        <v>1.9607843137254902E-2</v>
      </c>
      <c r="H121" s="13">
        <v>0</v>
      </c>
    </row>
    <row r="122" spans="3:8">
      <c r="C122" s="9">
        <v>45947.524027777799</v>
      </c>
      <c r="D122" s="10">
        <v>117</v>
      </c>
      <c r="E122" s="13">
        <v>105.7</v>
      </c>
      <c r="F122" s="13">
        <v>104.1</v>
      </c>
      <c r="G122" s="12">
        <f t="shared" si="1"/>
        <v>1.5369836695485193E-2</v>
      </c>
      <c r="H122" s="13">
        <v>0</v>
      </c>
    </row>
    <row r="123" spans="3:8">
      <c r="C123" s="9">
        <v>45947.524780092601</v>
      </c>
      <c r="D123" s="10">
        <v>118</v>
      </c>
      <c r="E123" s="13">
        <v>105.5</v>
      </c>
      <c r="F123" s="13">
        <v>104.7</v>
      </c>
      <c r="G123" s="12">
        <f t="shared" si="1"/>
        <v>7.6408787010505937E-3</v>
      </c>
      <c r="H123" s="13">
        <v>0</v>
      </c>
    </row>
    <row r="124" spans="3:8">
      <c r="C124" s="9">
        <v>45947.525532407402</v>
      </c>
      <c r="D124" s="10">
        <v>119</v>
      </c>
      <c r="E124" s="13">
        <v>105.1</v>
      </c>
      <c r="F124" s="13">
        <v>101.8</v>
      </c>
      <c r="G124" s="12">
        <f t="shared" si="1"/>
        <v>3.2416502946954785E-2</v>
      </c>
      <c r="H124" s="13">
        <v>0</v>
      </c>
    </row>
    <row r="125" spans="3:8">
      <c r="C125" s="9">
        <v>45947.526284722197</v>
      </c>
      <c r="D125" s="10">
        <v>120</v>
      </c>
      <c r="E125" s="13">
        <v>104.6</v>
      </c>
      <c r="F125" s="13">
        <v>99.3</v>
      </c>
      <c r="G125" s="12">
        <f t="shared" si="1"/>
        <v>5.337361530715002E-2</v>
      </c>
      <c r="H125" s="13">
        <v>0</v>
      </c>
    </row>
    <row r="126" spans="3:8">
      <c r="C126" s="9">
        <v>45947.527037036998</v>
      </c>
      <c r="D126" s="10">
        <v>121</v>
      </c>
      <c r="E126" s="13">
        <v>104.2</v>
      </c>
      <c r="F126" s="13">
        <v>98.7</v>
      </c>
      <c r="G126" s="12">
        <f t="shared" si="1"/>
        <v>5.5724417426545082E-2</v>
      </c>
      <c r="H126" s="13">
        <v>0</v>
      </c>
    </row>
    <row r="127" spans="3:8">
      <c r="C127" s="9">
        <v>45947.527789351901</v>
      </c>
      <c r="D127" s="10">
        <v>122</v>
      </c>
      <c r="E127" s="13">
        <v>104</v>
      </c>
      <c r="F127" s="13">
        <v>101.3</v>
      </c>
      <c r="G127" s="12">
        <f t="shared" si="1"/>
        <v>2.6653504442250769E-2</v>
      </c>
      <c r="H127" s="13">
        <v>0</v>
      </c>
    </row>
    <row r="128" spans="3:8">
      <c r="C128" s="9">
        <v>45947.528541666703</v>
      </c>
      <c r="D128" s="10">
        <v>123</v>
      </c>
      <c r="E128" s="13">
        <v>103.3</v>
      </c>
      <c r="F128" s="13">
        <v>102.4</v>
      </c>
      <c r="G128" s="12">
        <f t="shared" si="1"/>
        <v>8.7890624999999167E-3</v>
      </c>
      <c r="H128" s="13">
        <v>0</v>
      </c>
    </row>
    <row r="129" spans="3:8">
      <c r="C129" s="9">
        <v>45947.529293981497</v>
      </c>
      <c r="D129" s="10">
        <v>124</v>
      </c>
      <c r="E129" s="13">
        <v>102.2</v>
      </c>
      <c r="F129" s="13">
        <v>99.1</v>
      </c>
      <c r="G129" s="12">
        <f t="shared" si="1"/>
        <v>3.1281533804238232E-2</v>
      </c>
      <c r="H129" s="13">
        <v>0</v>
      </c>
    </row>
    <row r="130" spans="3:8">
      <c r="C130" s="9">
        <v>45947.530046296299</v>
      </c>
      <c r="D130" s="10">
        <v>125</v>
      </c>
      <c r="E130" s="13">
        <v>101.9</v>
      </c>
      <c r="F130" s="13">
        <v>100.8</v>
      </c>
      <c r="G130" s="12">
        <f t="shared" si="1"/>
        <v>1.0912698412698497E-2</v>
      </c>
      <c r="H130" s="13">
        <v>0</v>
      </c>
    </row>
    <row r="131" spans="3:8">
      <c r="C131" s="9">
        <v>45947.5307986111</v>
      </c>
      <c r="D131" s="10">
        <v>126</v>
      </c>
      <c r="E131" s="13">
        <v>101.3</v>
      </c>
      <c r="F131" s="13">
        <v>101.9</v>
      </c>
      <c r="G131" s="12">
        <f t="shared" si="1"/>
        <v>-5.8881256133465013E-3</v>
      </c>
      <c r="H131" s="13">
        <v>0</v>
      </c>
    </row>
    <row r="132" spans="3:8">
      <c r="C132" s="9">
        <v>45947.531550925902</v>
      </c>
      <c r="D132" s="10">
        <v>127</v>
      </c>
      <c r="E132" s="13">
        <v>101.3</v>
      </c>
      <c r="F132" s="13">
        <v>103.2</v>
      </c>
      <c r="G132" s="12">
        <f t="shared" si="1"/>
        <v>-1.8410852713178348E-2</v>
      </c>
      <c r="H132" s="13">
        <v>0</v>
      </c>
    </row>
    <row r="133" spans="3:8">
      <c r="C133" s="9">
        <v>45947.532303240703</v>
      </c>
      <c r="D133" s="10">
        <v>128</v>
      </c>
      <c r="E133" s="13">
        <v>101.2</v>
      </c>
      <c r="F133" s="13">
        <v>98.8</v>
      </c>
      <c r="G133" s="12">
        <f t="shared" si="1"/>
        <v>2.4291497975708561E-2</v>
      </c>
      <c r="H133" s="13">
        <v>0</v>
      </c>
    </row>
    <row r="134" spans="3:8">
      <c r="C134" s="9">
        <v>45947.533055555599</v>
      </c>
      <c r="D134" s="10">
        <v>129</v>
      </c>
      <c r="E134" s="13">
        <v>101.5</v>
      </c>
      <c r="F134" s="13">
        <v>101.9</v>
      </c>
      <c r="G134" s="12">
        <f t="shared" ref="G134:G197" si="2">(E134-F134)/F134</f>
        <v>-3.9254170755643339E-3</v>
      </c>
      <c r="H134" s="13">
        <v>0</v>
      </c>
    </row>
    <row r="135" spans="3:8">
      <c r="C135" s="9">
        <v>45947.533796296302</v>
      </c>
      <c r="D135" s="10">
        <v>130</v>
      </c>
      <c r="E135" s="13">
        <v>102.6</v>
      </c>
      <c r="F135" s="13">
        <v>100.3</v>
      </c>
      <c r="G135" s="12">
        <f t="shared" si="2"/>
        <v>2.29312063808574E-2</v>
      </c>
      <c r="H135" s="13">
        <v>0</v>
      </c>
    </row>
    <row r="136" spans="3:8">
      <c r="C136" s="9">
        <v>45947.534548611096</v>
      </c>
      <c r="D136" s="10">
        <v>131</v>
      </c>
      <c r="E136" s="13">
        <v>102.4</v>
      </c>
      <c r="F136" s="13">
        <v>102.5</v>
      </c>
      <c r="G136" s="12">
        <f t="shared" si="2"/>
        <v>-9.7560975609750557E-4</v>
      </c>
      <c r="H136" s="13">
        <v>0</v>
      </c>
    </row>
    <row r="137" spans="3:8">
      <c r="C137" s="9">
        <v>45947.535300925898</v>
      </c>
      <c r="D137" s="10">
        <v>132</v>
      </c>
      <c r="E137" s="13">
        <v>102.2</v>
      </c>
      <c r="F137" s="13">
        <v>99.1</v>
      </c>
      <c r="G137" s="12">
        <f t="shared" si="2"/>
        <v>3.1281533804238232E-2</v>
      </c>
      <c r="H137" s="13">
        <v>0</v>
      </c>
    </row>
    <row r="138" spans="3:8">
      <c r="C138" s="9">
        <v>45947.536053240699</v>
      </c>
      <c r="D138" s="10">
        <v>133</v>
      </c>
      <c r="E138" s="13">
        <v>102.1</v>
      </c>
      <c r="F138" s="13">
        <v>102.7</v>
      </c>
      <c r="G138" s="12">
        <f t="shared" si="2"/>
        <v>-5.8422590068160519E-3</v>
      </c>
      <c r="H138" s="13">
        <v>0</v>
      </c>
    </row>
    <row r="139" spans="3:8">
      <c r="C139" s="9">
        <v>45947.536805555603</v>
      </c>
      <c r="D139" s="10">
        <v>134</v>
      </c>
      <c r="E139" s="13">
        <v>102.6</v>
      </c>
      <c r="F139" s="13">
        <v>99</v>
      </c>
      <c r="G139" s="12">
        <f t="shared" si="2"/>
        <v>3.6363636363636306E-2</v>
      </c>
      <c r="H139" s="13">
        <v>0</v>
      </c>
    </row>
    <row r="140" spans="3:8">
      <c r="C140" s="9">
        <v>45947.537557870397</v>
      </c>
      <c r="D140" s="10">
        <v>135</v>
      </c>
      <c r="E140" s="13">
        <v>102.2</v>
      </c>
      <c r="F140" s="13">
        <v>99.3</v>
      </c>
      <c r="G140" s="12">
        <f t="shared" si="2"/>
        <v>2.9204431017119895E-2</v>
      </c>
      <c r="H140" s="13">
        <v>0</v>
      </c>
    </row>
    <row r="141" spans="3:8">
      <c r="C141" s="9">
        <v>45947.538310185198</v>
      </c>
      <c r="D141" s="10">
        <v>136</v>
      </c>
      <c r="E141" s="13">
        <v>102.4</v>
      </c>
      <c r="F141" s="13">
        <v>100.7</v>
      </c>
      <c r="G141" s="12">
        <f t="shared" si="2"/>
        <v>1.6881827209533296E-2</v>
      </c>
      <c r="H141" s="13">
        <v>0</v>
      </c>
    </row>
    <row r="142" spans="3:8">
      <c r="C142" s="9">
        <v>45947.5390625</v>
      </c>
      <c r="D142" s="10">
        <v>137</v>
      </c>
      <c r="E142" s="13">
        <v>102.1</v>
      </c>
      <c r="F142" s="13">
        <v>101.7</v>
      </c>
      <c r="G142" s="12">
        <f t="shared" si="2"/>
        <v>3.9331366764994245E-3</v>
      </c>
      <c r="H142" s="13">
        <v>0</v>
      </c>
    </row>
    <row r="143" spans="3:8">
      <c r="C143" s="9">
        <v>45947.539814814802</v>
      </c>
      <c r="D143" s="10">
        <v>138</v>
      </c>
      <c r="E143" s="13">
        <v>101.7</v>
      </c>
      <c r="F143" s="13">
        <v>98</v>
      </c>
      <c r="G143" s="12">
        <f t="shared" si="2"/>
        <v>3.7755102040816356E-2</v>
      </c>
      <c r="H143" s="13">
        <v>0</v>
      </c>
    </row>
    <row r="144" spans="3:8">
      <c r="C144" s="9">
        <v>45947.540567129603</v>
      </c>
      <c r="D144" s="10">
        <v>139</v>
      </c>
      <c r="E144" s="13">
        <v>101</v>
      </c>
      <c r="F144" s="13">
        <v>97.6</v>
      </c>
      <c r="G144" s="12">
        <f t="shared" si="2"/>
        <v>3.4836065573770551E-2</v>
      </c>
      <c r="H144" s="13">
        <v>0</v>
      </c>
    </row>
    <row r="145" spans="3:8">
      <c r="C145" s="9">
        <v>45947.541319444397</v>
      </c>
      <c r="D145" s="10">
        <v>140</v>
      </c>
      <c r="E145" s="13">
        <v>101.2</v>
      </c>
      <c r="F145" s="13">
        <v>94.6</v>
      </c>
      <c r="G145" s="12">
        <f t="shared" si="2"/>
        <v>6.9767441860465212E-2</v>
      </c>
      <c r="H145" s="13">
        <v>0</v>
      </c>
    </row>
    <row r="146" spans="3:8">
      <c r="C146" s="9">
        <v>45947.542071759301</v>
      </c>
      <c r="D146" s="10">
        <v>141</v>
      </c>
      <c r="E146" s="13">
        <v>101.2</v>
      </c>
      <c r="F146" s="13">
        <v>98.4</v>
      </c>
      <c r="G146" s="12">
        <f t="shared" si="2"/>
        <v>2.8455284552845499E-2</v>
      </c>
      <c r="H146" s="13">
        <v>0</v>
      </c>
    </row>
    <row r="147" spans="3:8">
      <c r="C147" s="9">
        <v>45947.542824074102</v>
      </c>
      <c r="D147" s="10">
        <v>142</v>
      </c>
      <c r="E147" s="13">
        <v>99.2</v>
      </c>
      <c r="F147" s="13">
        <v>101.2</v>
      </c>
      <c r="G147" s="12">
        <f t="shared" si="2"/>
        <v>-1.9762845849802372E-2</v>
      </c>
      <c r="H147" s="13">
        <v>0</v>
      </c>
    </row>
    <row r="148" spans="3:8">
      <c r="C148" s="9">
        <v>45947.543576388904</v>
      </c>
      <c r="D148" s="10">
        <v>143</v>
      </c>
      <c r="E148" s="13">
        <v>96.7</v>
      </c>
      <c r="F148" s="13">
        <v>94.8</v>
      </c>
      <c r="G148" s="12">
        <f t="shared" si="2"/>
        <v>2.0042194092827065E-2</v>
      </c>
      <c r="H148" s="13">
        <v>0</v>
      </c>
    </row>
    <row r="149" spans="3:8">
      <c r="C149" s="9">
        <v>45947.544328703698</v>
      </c>
      <c r="D149" s="10">
        <v>144</v>
      </c>
      <c r="E149" s="13">
        <v>96.3</v>
      </c>
      <c r="F149" s="13">
        <v>93.8</v>
      </c>
      <c r="G149" s="12">
        <f t="shared" si="2"/>
        <v>2.6652452025586356E-2</v>
      </c>
      <c r="H149" s="13">
        <v>0</v>
      </c>
    </row>
    <row r="150" spans="3:8">
      <c r="C150" s="9">
        <v>45947.545081018499</v>
      </c>
      <c r="D150" s="10">
        <v>145</v>
      </c>
      <c r="E150" s="13">
        <v>97</v>
      </c>
      <c r="F150" s="13">
        <v>101.7</v>
      </c>
      <c r="G150" s="12">
        <f t="shared" si="2"/>
        <v>-4.6214355948869253E-2</v>
      </c>
      <c r="H150" s="13">
        <v>0</v>
      </c>
    </row>
    <row r="151" spans="3:8">
      <c r="C151" s="9">
        <v>45947.545833333301</v>
      </c>
      <c r="D151" s="10">
        <v>146</v>
      </c>
      <c r="E151" s="13">
        <v>96.1</v>
      </c>
      <c r="F151" s="13">
        <v>100.3</v>
      </c>
      <c r="G151" s="12">
        <f t="shared" si="2"/>
        <v>-4.1874376869391855E-2</v>
      </c>
      <c r="H151" s="13">
        <v>0</v>
      </c>
    </row>
    <row r="152" spans="3:8">
      <c r="C152" s="9">
        <v>45947.546585648102</v>
      </c>
      <c r="D152" s="10">
        <v>147</v>
      </c>
      <c r="E152" s="13">
        <v>94.7</v>
      </c>
      <c r="F152" s="13">
        <v>100.2</v>
      </c>
      <c r="G152" s="12">
        <f t="shared" si="2"/>
        <v>-5.4890219560878244E-2</v>
      </c>
      <c r="H152" s="13">
        <v>0</v>
      </c>
    </row>
    <row r="153" spans="3:8">
      <c r="C153" s="9">
        <v>45947.547337962998</v>
      </c>
      <c r="D153" s="10">
        <v>148</v>
      </c>
      <c r="E153" s="13">
        <v>95.6</v>
      </c>
      <c r="F153" s="13">
        <v>94</v>
      </c>
      <c r="G153" s="12">
        <f t="shared" si="2"/>
        <v>1.7021276595744619E-2</v>
      </c>
      <c r="H153" s="13">
        <v>0</v>
      </c>
    </row>
    <row r="154" spans="3:8">
      <c r="C154" s="9">
        <v>45947.5480902778</v>
      </c>
      <c r="D154" s="10">
        <v>149</v>
      </c>
      <c r="E154" s="13">
        <v>96.8</v>
      </c>
      <c r="F154" s="13">
        <v>98.7</v>
      </c>
      <c r="G154" s="12">
        <f t="shared" si="2"/>
        <v>-1.9250253292806541E-2</v>
      </c>
      <c r="H154" s="13">
        <v>0</v>
      </c>
    </row>
    <row r="155" spans="3:8">
      <c r="C155" s="9">
        <v>45947.548842592601</v>
      </c>
      <c r="D155" s="10">
        <v>150</v>
      </c>
      <c r="E155" s="13">
        <v>97.9</v>
      </c>
      <c r="F155" s="13">
        <v>95.7</v>
      </c>
      <c r="G155" s="12">
        <f t="shared" si="2"/>
        <v>2.2988505747126464E-2</v>
      </c>
      <c r="H155" s="13">
        <v>2.0799999999999999E-2</v>
      </c>
    </row>
    <row r="156" spans="3:8">
      <c r="C156" s="9">
        <v>45947.549594907403</v>
      </c>
      <c r="D156" s="10">
        <v>151</v>
      </c>
      <c r="E156" s="13">
        <v>97.2</v>
      </c>
      <c r="F156" s="13">
        <v>100.6</v>
      </c>
      <c r="G156" s="12">
        <f t="shared" si="2"/>
        <v>-3.3797216699801111E-2</v>
      </c>
      <c r="H156" s="13">
        <v>2.0799999999999999E-2</v>
      </c>
    </row>
    <row r="157" spans="3:8">
      <c r="C157" s="9">
        <v>45947.550347222197</v>
      </c>
      <c r="D157" s="10">
        <v>152</v>
      </c>
      <c r="E157" s="13">
        <v>96.3</v>
      </c>
      <c r="F157" s="13">
        <v>99</v>
      </c>
      <c r="G157" s="12">
        <f t="shared" si="2"/>
        <v>-2.7272727272727303E-2</v>
      </c>
      <c r="H157" s="13">
        <v>2.0799999999999999E-2</v>
      </c>
    </row>
    <row r="158" spans="3:8">
      <c r="C158" s="9">
        <v>45947.551111111097</v>
      </c>
      <c r="D158" s="10">
        <v>153</v>
      </c>
      <c r="E158" s="13">
        <v>96.5</v>
      </c>
      <c r="F158" s="13">
        <v>96.5</v>
      </c>
      <c r="G158" s="12">
        <f t="shared" si="2"/>
        <v>0</v>
      </c>
      <c r="H158" s="13">
        <v>2.0799999999999999E-2</v>
      </c>
    </row>
    <row r="159" spans="3:8">
      <c r="C159" s="9">
        <v>45947.551863425899</v>
      </c>
      <c r="D159" s="10">
        <v>154</v>
      </c>
      <c r="E159" s="13">
        <v>96.7</v>
      </c>
      <c r="F159" s="13">
        <v>98.1</v>
      </c>
      <c r="G159" s="12">
        <f t="shared" si="2"/>
        <v>-1.4271151885830698E-2</v>
      </c>
      <c r="H159" s="13">
        <v>2.0799999999999999E-2</v>
      </c>
    </row>
    <row r="160" spans="3:8">
      <c r="C160" s="9">
        <v>45947.5526157407</v>
      </c>
      <c r="D160" s="10">
        <v>155</v>
      </c>
      <c r="E160" s="13">
        <v>99.2</v>
      </c>
      <c r="F160" s="13">
        <v>97.8</v>
      </c>
      <c r="G160" s="12">
        <f t="shared" si="2"/>
        <v>1.4314928425357932E-2</v>
      </c>
      <c r="H160" s="13">
        <v>2.0799999999999999E-2</v>
      </c>
    </row>
    <row r="161" spans="3:8">
      <c r="C161" s="9">
        <v>45947.553356481498</v>
      </c>
      <c r="D161" s="10">
        <v>156</v>
      </c>
      <c r="E161" s="13">
        <v>101.2</v>
      </c>
      <c r="F161" s="13">
        <v>93.1</v>
      </c>
      <c r="G161" s="12">
        <f t="shared" si="2"/>
        <v>8.7003222341568306E-2</v>
      </c>
      <c r="H161" s="13">
        <v>2.0799999999999999E-2</v>
      </c>
    </row>
    <row r="162" spans="3:8">
      <c r="C162" s="9">
        <v>45947.554120370398</v>
      </c>
      <c r="D162" s="10">
        <v>157</v>
      </c>
      <c r="E162" s="13">
        <v>103.1</v>
      </c>
      <c r="F162" s="13">
        <v>97.9</v>
      </c>
      <c r="G162" s="12">
        <f t="shared" si="2"/>
        <v>5.3115423901940635E-2</v>
      </c>
      <c r="H162" s="13">
        <v>2.0799999999999999E-2</v>
      </c>
    </row>
    <row r="163" spans="3:8">
      <c r="C163" s="9">
        <v>45947.554872685199</v>
      </c>
      <c r="D163" s="10">
        <v>158</v>
      </c>
      <c r="E163" s="13">
        <v>105.1</v>
      </c>
      <c r="F163" s="13">
        <v>93.2</v>
      </c>
      <c r="G163" s="12">
        <f t="shared" si="2"/>
        <v>0.12768240343347631</v>
      </c>
      <c r="H163" s="13">
        <v>2.0799999999999999E-2</v>
      </c>
    </row>
    <row r="164" spans="3:8">
      <c r="C164" s="9">
        <v>45947.555625000001</v>
      </c>
      <c r="D164" s="10">
        <v>159</v>
      </c>
      <c r="E164" s="13">
        <v>95.2</v>
      </c>
      <c r="F164" s="13">
        <v>98.8</v>
      </c>
      <c r="G164" s="12">
        <f t="shared" si="2"/>
        <v>-3.6437246963562694E-2</v>
      </c>
      <c r="H164" s="13">
        <v>2.0799999999999999E-2</v>
      </c>
    </row>
    <row r="165" spans="3:8">
      <c r="C165" s="9">
        <v>45947.556377314802</v>
      </c>
      <c r="D165" s="10">
        <v>160</v>
      </c>
      <c r="E165" s="13">
        <v>94.7</v>
      </c>
      <c r="F165" s="13">
        <v>92.2</v>
      </c>
      <c r="G165" s="12">
        <f t="shared" si="2"/>
        <v>2.7114967462039046E-2</v>
      </c>
      <c r="H165" s="13">
        <v>2.0799999999999999E-2</v>
      </c>
    </row>
    <row r="166" spans="3:8">
      <c r="C166" s="9">
        <v>45947.557129629597</v>
      </c>
      <c r="D166" s="10">
        <v>161</v>
      </c>
      <c r="E166" s="13">
        <v>113.2</v>
      </c>
      <c r="F166" s="13">
        <v>98.8</v>
      </c>
      <c r="G166" s="12">
        <f t="shared" si="2"/>
        <v>0.14574898785425108</v>
      </c>
      <c r="H166" s="13">
        <v>2.0799999999999999E-2</v>
      </c>
    </row>
    <row r="167" spans="3:8">
      <c r="C167" s="9">
        <v>45947.557881944398</v>
      </c>
      <c r="D167" s="10">
        <v>162</v>
      </c>
      <c r="E167" s="13">
        <v>115.2</v>
      </c>
      <c r="F167" s="13">
        <v>96.7</v>
      </c>
      <c r="G167" s="12">
        <f t="shared" si="2"/>
        <v>0.19131334022750776</v>
      </c>
      <c r="H167" s="13">
        <v>2.0799999999999999E-2</v>
      </c>
    </row>
    <row r="168" spans="3:8">
      <c r="C168" s="9">
        <v>45947.558634259301</v>
      </c>
      <c r="D168" s="10">
        <v>163</v>
      </c>
      <c r="E168" s="13">
        <v>117.2</v>
      </c>
      <c r="F168" s="13">
        <v>95.8</v>
      </c>
      <c r="G168" s="12">
        <f t="shared" si="2"/>
        <v>0.22338204592901886</v>
      </c>
      <c r="H168" s="13">
        <v>2.0799999999999999E-2</v>
      </c>
    </row>
    <row r="169" spans="3:8">
      <c r="C169" s="9">
        <v>45947.559386574103</v>
      </c>
      <c r="D169" s="10">
        <v>164</v>
      </c>
      <c r="E169" s="13">
        <v>119.2</v>
      </c>
      <c r="F169" s="13">
        <v>97.5</v>
      </c>
      <c r="G169" s="12">
        <f t="shared" si="2"/>
        <v>0.22256410256410258</v>
      </c>
      <c r="H169" s="13">
        <v>2.0799999999999999E-2</v>
      </c>
    </row>
    <row r="170" spans="3:8">
      <c r="C170" s="9">
        <v>45947.560138888897</v>
      </c>
      <c r="D170" s="10">
        <v>165</v>
      </c>
      <c r="E170" s="13">
        <v>121.1</v>
      </c>
      <c r="F170" s="13">
        <v>99.9</v>
      </c>
      <c r="G170" s="12">
        <f t="shared" si="2"/>
        <v>0.21221221221221209</v>
      </c>
      <c r="H170" s="13">
        <v>2.0799999999999999E-2</v>
      </c>
    </row>
    <row r="171" spans="3:8">
      <c r="C171" s="9">
        <v>45947.560891203699</v>
      </c>
      <c r="D171" s="10">
        <v>166</v>
      </c>
      <c r="E171" s="13">
        <v>123.1</v>
      </c>
      <c r="F171" s="13">
        <v>93.7</v>
      </c>
      <c r="G171" s="12">
        <f t="shared" si="2"/>
        <v>0.31376734258271066</v>
      </c>
      <c r="H171" s="13">
        <v>2.0799999999999999E-2</v>
      </c>
    </row>
    <row r="172" spans="3:8">
      <c r="C172" s="9">
        <v>45947.5616435185</v>
      </c>
      <c r="D172" s="10">
        <v>167</v>
      </c>
      <c r="E172" s="13">
        <v>125.1</v>
      </c>
      <c r="F172" s="13">
        <v>100.1</v>
      </c>
      <c r="G172" s="12">
        <f t="shared" si="2"/>
        <v>0.24975024975024976</v>
      </c>
      <c r="H172" s="13">
        <v>2.0799999999999999E-2</v>
      </c>
    </row>
    <row r="173" spans="3:8">
      <c r="C173" s="9">
        <v>45947.562395833302</v>
      </c>
      <c r="D173" s="10">
        <v>168</v>
      </c>
      <c r="E173" s="13">
        <v>127.1</v>
      </c>
      <c r="F173" s="13">
        <v>100.3</v>
      </c>
      <c r="G173" s="12">
        <f t="shared" si="2"/>
        <v>0.26719840478564305</v>
      </c>
      <c r="H173" s="13">
        <v>2.0799999999999999E-2</v>
      </c>
    </row>
    <row r="174" spans="3:8">
      <c r="C174" s="9">
        <v>45947.563148148103</v>
      </c>
      <c r="D174" s="10">
        <v>169</v>
      </c>
      <c r="E174" s="13">
        <v>129.19999999999999</v>
      </c>
      <c r="F174" s="13">
        <v>97.5</v>
      </c>
      <c r="G174" s="12">
        <f t="shared" si="2"/>
        <v>0.32512820512820501</v>
      </c>
      <c r="H174" s="13">
        <v>2.0799999999999999E-2</v>
      </c>
    </row>
    <row r="175" spans="3:8">
      <c r="C175" s="9">
        <v>45947.563900462999</v>
      </c>
      <c r="D175" s="10">
        <v>170</v>
      </c>
      <c r="E175" s="13">
        <v>131.19999999999999</v>
      </c>
      <c r="F175" s="13">
        <v>100.4</v>
      </c>
      <c r="G175" s="12">
        <f t="shared" si="2"/>
        <v>0.3067729083665337</v>
      </c>
      <c r="H175" s="13">
        <v>2.0799999999999999E-2</v>
      </c>
    </row>
    <row r="176" spans="3:8">
      <c r="C176" s="9">
        <v>45947.564652777801</v>
      </c>
      <c r="D176" s="10">
        <v>171</v>
      </c>
      <c r="E176" s="13">
        <v>133.19999999999999</v>
      </c>
      <c r="F176" s="13">
        <v>94.9</v>
      </c>
      <c r="G176" s="12">
        <f t="shared" si="2"/>
        <v>0.40358271865121159</v>
      </c>
      <c r="H176" s="13">
        <v>2.0799999999999999E-2</v>
      </c>
    </row>
    <row r="177" spans="3:8">
      <c r="C177" s="9">
        <v>45947.565405092602</v>
      </c>
      <c r="D177" s="10">
        <v>172</v>
      </c>
      <c r="E177" s="13">
        <v>135.19999999999999</v>
      </c>
      <c r="F177" s="13">
        <v>102.1</v>
      </c>
      <c r="G177" s="12">
        <f t="shared" si="2"/>
        <v>0.32419196865817823</v>
      </c>
      <c r="H177" s="13">
        <v>2.0799999999999999E-2</v>
      </c>
    </row>
    <row r="178" spans="3:8">
      <c r="C178" s="9">
        <v>45947.566157407397</v>
      </c>
      <c r="D178" s="10">
        <v>173</v>
      </c>
      <c r="E178" s="13">
        <v>137.19999999999999</v>
      </c>
      <c r="F178" s="13">
        <v>93.9</v>
      </c>
      <c r="G178" s="12">
        <f t="shared" si="2"/>
        <v>0.46112886048988266</v>
      </c>
      <c r="H178" s="13">
        <v>2.0799999999999999E-2</v>
      </c>
    </row>
    <row r="179" spans="3:8">
      <c r="C179" s="9">
        <v>45947.566909722198</v>
      </c>
      <c r="D179" s="10">
        <v>174</v>
      </c>
      <c r="E179" s="13">
        <v>139.1</v>
      </c>
      <c r="F179" s="13">
        <v>98</v>
      </c>
      <c r="G179" s="12">
        <f t="shared" si="2"/>
        <v>0.41938775510204074</v>
      </c>
      <c r="H179" s="13">
        <v>2.0799999999999999E-2</v>
      </c>
    </row>
    <row r="180" spans="3:8">
      <c r="C180" s="9">
        <v>45947.567662037</v>
      </c>
      <c r="D180" s="10">
        <v>175</v>
      </c>
      <c r="E180" s="13">
        <v>141.1</v>
      </c>
      <c r="F180" s="13">
        <v>98</v>
      </c>
      <c r="G180" s="12">
        <f t="shared" si="2"/>
        <v>0.43979591836734688</v>
      </c>
      <c r="H180" s="13">
        <v>2.0799999999999999E-2</v>
      </c>
    </row>
    <row r="181" spans="3:8">
      <c r="C181" s="9">
        <v>45947.568414351903</v>
      </c>
      <c r="D181" s="10">
        <v>176</v>
      </c>
      <c r="E181" s="13">
        <v>143.1</v>
      </c>
      <c r="F181" s="13">
        <v>98.4</v>
      </c>
      <c r="G181" s="12">
        <f t="shared" si="2"/>
        <v>0.45426829268292668</v>
      </c>
      <c r="H181" s="13">
        <v>2.0799999999999999E-2</v>
      </c>
    </row>
    <row r="182" spans="3:8">
      <c r="C182" s="9">
        <v>45947.569166666697</v>
      </c>
      <c r="D182" s="10">
        <v>177</v>
      </c>
      <c r="E182" s="13">
        <v>145.1</v>
      </c>
      <c r="F182" s="13">
        <v>96.3</v>
      </c>
      <c r="G182" s="12">
        <f t="shared" si="2"/>
        <v>0.50674974039460019</v>
      </c>
      <c r="H182" s="13">
        <v>2.0799999999999999E-2</v>
      </c>
    </row>
    <row r="183" spans="3:8">
      <c r="C183" s="9">
        <v>45947.5699074074</v>
      </c>
      <c r="D183" s="10">
        <v>178</v>
      </c>
      <c r="E183" s="13">
        <v>147.19999999999999</v>
      </c>
      <c r="F183" s="13">
        <v>103</v>
      </c>
      <c r="G183" s="12">
        <f t="shared" si="2"/>
        <v>0.42912621359223291</v>
      </c>
      <c r="H183" s="13">
        <v>2.0799999999999999E-2</v>
      </c>
    </row>
    <row r="184" spans="3:8">
      <c r="C184" s="9">
        <v>45947.570659722202</v>
      </c>
      <c r="D184" s="10">
        <v>179</v>
      </c>
      <c r="E184" s="13">
        <v>149.19999999999999</v>
      </c>
      <c r="F184" s="13">
        <v>102.4</v>
      </c>
      <c r="G184" s="12">
        <f t="shared" si="2"/>
        <v>0.45703124999999983</v>
      </c>
      <c r="H184" s="13">
        <v>2.0799999999999999E-2</v>
      </c>
    </row>
    <row r="185" spans="3:8">
      <c r="C185" s="9">
        <v>45947.571412037003</v>
      </c>
      <c r="D185" s="10">
        <v>180</v>
      </c>
      <c r="E185" s="13">
        <v>151.19999999999999</v>
      </c>
      <c r="F185" s="13">
        <v>97</v>
      </c>
      <c r="G185" s="12">
        <f t="shared" si="2"/>
        <v>0.55876288659793805</v>
      </c>
      <c r="H185" s="13">
        <v>4.4999999999999998E-2</v>
      </c>
    </row>
    <row r="186" spans="3:8">
      <c r="C186" s="9">
        <v>45947.572164351899</v>
      </c>
      <c r="D186" s="10">
        <v>181</v>
      </c>
      <c r="E186" s="13">
        <v>153.19999999999999</v>
      </c>
      <c r="F186" s="13">
        <v>100.1</v>
      </c>
      <c r="G186" s="12">
        <f t="shared" si="2"/>
        <v>0.53046953046953049</v>
      </c>
      <c r="H186" s="13">
        <v>4.4999999999999998E-2</v>
      </c>
    </row>
    <row r="187" spans="3:8">
      <c r="C187" s="9">
        <v>45947.572916666701</v>
      </c>
      <c r="D187" s="10">
        <v>182</v>
      </c>
      <c r="E187" s="13">
        <v>155.19999999999999</v>
      </c>
      <c r="F187" s="13">
        <v>96.2</v>
      </c>
      <c r="G187" s="12">
        <f t="shared" si="2"/>
        <v>0.61330561330561317</v>
      </c>
      <c r="H187" s="13">
        <v>4.4999999999999998E-2</v>
      </c>
    </row>
    <row r="188" spans="3:8">
      <c r="C188" s="9">
        <v>45947.573668981502</v>
      </c>
      <c r="D188" s="10">
        <v>183</v>
      </c>
      <c r="E188" s="13">
        <v>157.1</v>
      </c>
      <c r="F188" s="13">
        <v>95.2</v>
      </c>
      <c r="G188" s="12">
        <f t="shared" si="2"/>
        <v>0.65021008403361336</v>
      </c>
      <c r="H188" s="13">
        <v>4.4999999999999998E-2</v>
      </c>
    </row>
    <row r="189" spans="3:8">
      <c r="C189" s="9">
        <v>45947.574421296304</v>
      </c>
      <c r="D189" s="10">
        <v>184</v>
      </c>
      <c r="E189" s="13">
        <v>159.1</v>
      </c>
      <c r="F189" s="13">
        <v>102.1</v>
      </c>
      <c r="G189" s="12">
        <f t="shared" si="2"/>
        <v>0.55827619980411369</v>
      </c>
      <c r="H189" s="13">
        <v>4.4999999999999998E-2</v>
      </c>
    </row>
    <row r="190" spans="3:8">
      <c r="C190" s="9">
        <v>45947.575173611098</v>
      </c>
      <c r="D190" s="10">
        <v>185</v>
      </c>
      <c r="E190" s="13">
        <v>98.5</v>
      </c>
      <c r="F190" s="13">
        <v>104.8</v>
      </c>
      <c r="G190" s="12">
        <f t="shared" si="2"/>
        <v>-6.0114503816793868E-2</v>
      </c>
      <c r="H190" s="13">
        <v>0</v>
      </c>
    </row>
    <row r="191" spans="3:8">
      <c r="C191" s="9">
        <v>45947.575925925899</v>
      </c>
      <c r="D191" s="10">
        <v>186</v>
      </c>
      <c r="E191" s="13">
        <v>160</v>
      </c>
      <c r="F191" s="13">
        <v>99</v>
      </c>
      <c r="G191" s="12">
        <f t="shared" si="2"/>
        <v>0.61616161616161613</v>
      </c>
      <c r="H191" s="13">
        <v>0</v>
      </c>
    </row>
    <row r="192" spans="3:8">
      <c r="C192" s="9">
        <v>45947.576678240701</v>
      </c>
      <c r="D192" s="10">
        <v>187</v>
      </c>
      <c r="E192" s="13">
        <v>160</v>
      </c>
      <c r="F192" s="13">
        <v>98.7</v>
      </c>
      <c r="G192" s="12">
        <f t="shared" si="2"/>
        <v>0.62107396149949334</v>
      </c>
      <c r="H192" s="13">
        <v>0</v>
      </c>
    </row>
    <row r="193" spans="3:8">
      <c r="C193" s="9">
        <v>45947.577442129601</v>
      </c>
      <c r="D193" s="10">
        <v>188</v>
      </c>
      <c r="E193" s="13">
        <v>158</v>
      </c>
      <c r="F193" s="13">
        <v>105.1</v>
      </c>
      <c r="G193" s="12">
        <f t="shared" si="2"/>
        <v>0.50333016175071366</v>
      </c>
      <c r="H193" s="13">
        <v>0</v>
      </c>
    </row>
    <row r="194" spans="3:8">
      <c r="C194" s="9">
        <v>45947.578194444402</v>
      </c>
      <c r="D194" s="10">
        <v>189</v>
      </c>
      <c r="E194" s="13">
        <v>158</v>
      </c>
      <c r="F194" s="13">
        <v>98.9</v>
      </c>
      <c r="G194" s="12">
        <f t="shared" si="2"/>
        <v>0.59757330637007067</v>
      </c>
      <c r="H194" s="13">
        <v>0</v>
      </c>
    </row>
    <row r="195" spans="3:8">
      <c r="C195" s="9">
        <v>45947.578946759299</v>
      </c>
      <c r="D195" s="10">
        <v>190</v>
      </c>
      <c r="E195" s="13">
        <v>158</v>
      </c>
      <c r="F195" s="13">
        <v>102.9</v>
      </c>
      <c r="G195" s="12">
        <f t="shared" si="2"/>
        <v>0.5354713313896986</v>
      </c>
      <c r="H195" s="13">
        <v>4.4999999999999998E-2</v>
      </c>
    </row>
    <row r="196" spans="3:8">
      <c r="C196" s="9">
        <v>45947.5796990741</v>
      </c>
      <c r="D196" s="10">
        <v>191</v>
      </c>
      <c r="E196" s="13">
        <v>158</v>
      </c>
      <c r="F196" s="13">
        <v>99.1</v>
      </c>
      <c r="G196" s="12">
        <f t="shared" si="2"/>
        <v>0.59434914228052482</v>
      </c>
      <c r="H196" s="13">
        <v>4.4999999999999998E-2</v>
      </c>
    </row>
    <row r="197" spans="3:8">
      <c r="C197" s="9">
        <v>45947.580451388902</v>
      </c>
      <c r="D197" s="10">
        <v>192</v>
      </c>
      <c r="E197" s="13">
        <v>158</v>
      </c>
      <c r="F197" s="13">
        <v>101.1</v>
      </c>
      <c r="G197" s="12">
        <f t="shared" si="2"/>
        <v>0.56280909990108807</v>
      </c>
      <c r="H197" s="13">
        <v>4.4999999999999998E-2</v>
      </c>
    </row>
    <row r="198" spans="3:8">
      <c r="C198" s="9">
        <v>45947.581203703703</v>
      </c>
      <c r="D198" s="10">
        <v>193</v>
      </c>
      <c r="E198" s="13">
        <v>158</v>
      </c>
      <c r="F198" s="13">
        <v>101.2</v>
      </c>
      <c r="G198" s="12">
        <f t="shared" ref="G198:G205" si="3">(E198-F198)/F198</f>
        <v>0.56126482213438733</v>
      </c>
      <c r="H198" s="13">
        <v>4.4999999999999998E-2</v>
      </c>
    </row>
    <row r="199" spans="3:8">
      <c r="C199" s="9">
        <v>45947.581956018497</v>
      </c>
      <c r="D199" s="10">
        <v>194</v>
      </c>
      <c r="E199" s="13">
        <v>158</v>
      </c>
      <c r="F199" s="13">
        <v>105.1</v>
      </c>
      <c r="G199" s="12">
        <f t="shared" si="3"/>
        <v>0.50333016175071366</v>
      </c>
      <c r="H199" s="13">
        <v>4.4999999999999998E-2</v>
      </c>
    </row>
    <row r="200" spans="3:8">
      <c r="C200" s="9">
        <v>45947.582708333299</v>
      </c>
      <c r="D200" s="10">
        <v>195</v>
      </c>
      <c r="E200" s="13">
        <v>158</v>
      </c>
      <c r="F200" s="13">
        <v>104.6</v>
      </c>
      <c r="G200" s="12">
        <f t="shared" si="3"/>
        <v>0.51051625239005749</v>
      </c>
      <c r="H200" s="13">
        <v>2.0799999999999999E-2</v>
      </c>
    </row>
    <row r="201" spans="3:8">
      <c r="C201" s="9">
        <v>45947.583460648202</v>
      </c>
      <c r="D201" s="10">
        <v>196</v>
      </c>
      <c r="E201" s="13">
        <v>158</v>
      </c>
      <c r="F201" s="13">
        <v>102.7</v>
      </c>
      <c r="G201" s="12">
        <f t="shared" si="3"/>
        <v>0.53846153846153844</v>
      </c>
      <c r="H201" s="13">
        <v>2.0799999999999999E-2</v>
      </c>
    </row>
    <row r="202" spans="3:8">
      <c r="C202" s="9">
        <v>45947.584212962996</v>
      </c>
      <c r="D202" s="10">
        <v>197</v>
      </c>
      <c r="E202" s="13">
        <v>158</v>
      </c>
      <c r="F202" s="13">
        <v>107.9</v>
      </c>
      <c r="G202" s="12">
        <f t="shared" si="3"/>
        <v>0.46431881371640399</v>
      </c>
      <c r="H202" s="13">
        <v>2.0799999999999999E-2</v>
      </c>
    </row>
    <row r="203" spans="3:8">
      <c r="C203" s="9">
        <v>45947.584965277798</v>
      </c>
      <c r="D203" s="10">
        <v>198</v>
      </c>
      <c r="E203" s="13">
        <v>158</v>
      </c>
      <c r="F203" s="13">
        <v>101.1</v>
      </c>
      <c r="G203" s="12">
        <f t="shared" si="3"/>
        <v>0.56280909990108807</v>
      </c>
      <c r="H203" s="13">
        <v>2.0799999999999999E-2</v>
      </c>
    </row>
    <row r="204" spans="3:8">
      <c r="C204" s="9">
        <v>45947.585717592599</v>
      </c>
      <c r="D204" s="10">
        <v>199</v>
      </c>
      <c r="E204" s="13">
        <v>158</v>
      </c>
      <c r="F204" s="13">
        <v>99.2</v>
      </c>
      <c r="G204" s="12">
        <f t="shared" si="3"/>
        <v>0.59274193548387089</v>
      </c>
      <c r="H204" s="13">
        <v>2.0799999999999999E-2</v>
      </c>
    </row>
    <row r="205" spans="3:8">
      <c r="C205" s="9">
        <v>45947.586469907401</v>
      </c>
      <c r="D205" s="10">
        <v>200</v>
      </c>
      <c r="E205" s="13">
        <v>158</v>
      </c>
      <c r="F205" s="13">
        <v>105.7</v>
      </c>
      <c r="G205" s="12">
        <f t="shared" si="3"/>
        <v>0.49479659413434246</v>
      </c>
      <c r="H205" s="13">
        <v>2.0799999999999999E-2</v>
      </c>
    </row>
    <row r="206" spans="3:8">
      <c r="C206" s="9"/>
      <c r="D206" s="10"/>
      <c r="E206" s="13"/>
      <c r="F206" s="13"/>
      <c r="G206" s="12"/>
      <c r="H206" s="13"/>
    </row>
    <row r="207" spans="3:8">
      <c r="C207" s="9"/>
      <c r="D207" s="10"/>
      <c r="E207" s="13"/>
      <c r="F207" s="13"/>
      <c r="G207" s="12"/>
      <c r="H207" s="13"/>
    </row>
    <row r="208" spans="3:8">
      <c r="C208" s="9"/>
      <c r="D208" s="10"/>
      <c r="E208" s="13"/>
      <c r="F208" s="13"/>
      <c r="G208" s="12"/>
      <c r="H208" s="13"/>
    </row>
    <row r="209" spans="3:8">
      <c r="C209" s="9"/>
      <c r="D209" s="10"/>
      <c r="E209" s="13"/>
      <c r="F209" s="13"/>
      <c r="G209" s="12"/>
      <c r="H209" s="13"/>
    </row>
    <row r="210" spans="3:8">
      <c r="C210" s="9"/>
      <c r="D210" s="10"/>
      <c r="E210" s="13"/>
      <c r="F210" s="13"/>
      <c r="G210" s="12"/>
      <c r="H210" s="13"/>
    </row>
    <row r="211" spans="3:8">
      <c r="C211" s="9"/>
      <c r="D211" s="10"/>
      <c r="E211" s="13"/>
      <c r="F211" s="13"/>
      <c r="G211" s="12"/>
      <c r="H211" s="13"/>
    </row>
    <row r="212" spans="3:8">
      <c r="C212" s="9"/>
      <c r="D212" s="10"/>
      <c r="E212" s="13"/>
      <c r="F212" s="13"/>
      <c r="G212" s="12"/>
      <c r="H212" s="13"/>
    </row>
    <row r="213" spans="3:8">
      <c r="C213" s="9"/>
      <c r="D213" s="10"/>
      <c r="E213" s="13"/>
      <c r="F213" s="13"/>
      <c r="G213" s="12"/>
      <c r="H213" s="13"/>
    </row>
    <row r="214" spans="3:8">
      <c r="C214" s="9"/>
      <c r="D214" s="10"/>
      <c r="E214" s="13"/>
      <c r="F214" s="13"/>
      <c r="G214" s="12"/>
      <c r="H214" s="13"/>
    </row>
    <row r="215" spans="3:8">
      <c r="C215" s="9"/>
      <c r="D215" s="10"/>
      <c r="E215" s="13"/>
      <c r="F215" s="13"/>
      <c r="G215" s="12"/>
      <c r="H215" s="13"/>
    </row>
    <row r="216" spans="3:8">
      <c r="C216" s="9"/>
      <c r="D216" s="10"/>
      <c r="E216" s="13"/>
      <c r="F216" s="13"/>
      <c r="G216" s="12"/>
      <c r="H216" s="13"/>
    </row>
    <row r="217" spans="3:8">
      <c r="C217" s="9"/>
      <c r="D217" s="10"/>
      <c r="E217" s="13"/>
      <c r="F217" s="13"/>
      <c r="G217" s="12"/>
      <c r="H217" s="13"/>
    </row>
    <row r="218" spans="3:8">
      <c r="C218" s="9"/>
      <c r="D218" s="10"/>
      <c r="E218" s="13"/>
      <c r="F218" s="13"/>
      <c r="G218" s="12"/>
      <c r="H218" s="13"/>
    </row>
    <row r="219" spans="3:8">
      <c r="C219" s="9"/>
      <c r="D219" s="10"/>
      <c r="E219" s="13"/>
      <c r="F219" s="13"/>
      <c r="G219" s="12"/>
      <c r="H219" s="13"/>
    </row>
    <row r="220" spans="3:8">
      <c r="C220" s="9"/>
      <c r="D220" s="10"/>
      <c r="E220" s="13"/>
      <c r="F220" s="13"/>
      <c r="G220" s="12"/>
      <c r="H220" s="13"/>
    </row>
    <row r="221" spans="3:8">
      <c r="C221" s="9"/>
      <c r="D221" s="10"/>
      <c r="E221" s="13"/>
      <c r="F221" s="13"/>
      <c r="G221" s="12"/>
      <c r="H221" s="13"/>
    </row>
    <row r="222" spans="3:8">
      <c r="C222" s="9"/>
      <c r="D222" s="10"/>
      <c r="E222" s="13"/>
      <c r="F222" s="13"/>
      <c r="G222" s="12"/>
      <c r="H222" s="13"/>
    </row>
    <row r="223" spans="3:8">
      <c r="C223" s="9"/>
      <c r="D223" s="10"/>
      <c r="E223" s="13"/>
      <c r="F223" s="13"/>
      <c r="G223" s="12"/>
      <c r="H223" s="13"/>
    </row>
    <row r="224" spans="3:8">
      <c r="C224" s="9"/>
      <c r="D224" s="10"/>
      <c r="E224" s="13"/>
      <c r="F224" s="13"/>
      <c r="G224" s="12"/>
      <c r="H224" s="13"/>
    </row>
    <row r="225" spans="3:8">
      <c r="C225" s="9"/>
      <c r="D225" s="10"/>
      <c r="E225" s="13"/>
      <c r="F225" s="13"/>
      <c r="G225" s="12"/>
      <c r="H225" s="13"/>
    </row>
    <row r="226" spans="3:8">
      <c r="C226" s="9"/>
      <c r="D226" s="10"/>
      <c r="E226" s="13"/>
      <c r="F226" s="13"/>
      <c r="G226" s="12"/>
      <c r="H226" s="13"/>
    </row>
    <row r="227" spans="3:8">
      <c r="C227" s="9"/>
      <c r="D227" s="10"/>
      <c r="E227" s="13"/>
      <c r="F227" s="13"/>
      <c r="G227" s="12"/>
      <c r="H227" s="13"/>
    </row>
    <row r="228" spans="3:8">
      <c r="C228" s="9"/>
      <c r="D228" s="10"/>
      <c r="E228" s="13"/>
      <c r="F228" s="13"/>
      <c r="G228" s="12"/>
      <c r="H228" s="13"/>
    </row>
    <row r="229" spans="3:8">
      <c r="C229" s="9"/>
      <c r="D229" s="10"/>
      <c r="E229" s="13"/>
      <c r="F229" s="13"/>
      <c r="G229" s="12"/>
      <c r="H229" s="13"/>
    </row>
    <row r="230" spans="3:8">
      <c r="C230" s="9"/>
      <c r="D230" s="10"/>
      <c r="E230" s="13"/>
      <c r="F230" s="13"/>
      <c r="G230" s="12"/>
      <c r="H230" s="13"/>
    </row>
    <row r="231" spans="3:8">
      <c r="C231" s="9"/>
      <c r="D231" s="10"/>
      <c r="E231" s="13"/>
      <c r="F231" s="13"/>
      <c r="G231" s="12"/>
      <c r="H231" s="13"/>
    </row>
    <row r="232" spans="3:8">
      <c r="C232" s="9"/>
      <c r="D232" s="10"/>
      <c r="E232" s="13"/>
      <c r="F232" s="13"/>
      <c r="G232" s="12"/>
      <c r="H232" s="13"/>
    </row>
    <row r="233" spans="3:8">
      <c r="C233" s="9"/>
      <c r="D233" s="10"/>
      <c r="E233" s="13"/>
      <c r="F233" s="13"/>
      <c r="G233" s="12"/>
      <c r="H233" s="13"/>
    </row>
    <row r="234" spans="3:8">
      <c r="C234" s="9"/>
      <c r="D234" s="10"/>
      <c r="E234" s="13"/>
      <c r="F234" s="13"/>
      <c r="G234" s="12"/>
      <c r="H234" s="13"/>
    </row>
    <row r="235" spans="3:8">
      <c r="C235" s="9"/>
      <c r="D235" s="10"/>
      <c r="E235" s="13"/>
      <c r="F235" s="13"/>
      <c r="G235" s="12"/>
      <c r="H235" s="13"/>
    </row>
    <row r="236" spans="3:8">
      <c r="C236" s="9"/>
      <c r="D236" s="10"/>
      <c r="E236" s="13"/>
      <c r="F236" s="13"/>
      <c r="G236" s="12"/>
      <c r="H236" s="13"/>
    </row>
    <row r="237" spans="3:8">
      <c r="C237" s="9"/>
      <c r="D237" s="10"/>
      <c r="E237" s="13"/>
      <c r="F237" s="13"/>
      <c r="G237" s="12"/>
      <c r="H237" s="13"/>
    </row>
    <row r="238" spans="3:8">
      <c r="C238" s="9"/>
      <c r="D238" s="10"/>
      <c r="E238" s="13"/>
      <c r="F238" s="13"/>
      <c r="G238" s="12"/>
      <c r="H238" s="13"/>
    </row>
    <row r="239" spans="3:8">
      <c r="C239" s="9"/>
      <c r="D239" s="10"/>
      <c r="E239" s="13"/>
      <c r="F239" s="13"/>
      <c r="G239" s="12"/>
      <c r="H239" s="13"/>
    </row>
    <row r="240" spans="3:8">
      <c r="C240" s="9"/>
      <c r="D240" s="10"/>
      <c r="E240" s="13"/>
      <c r="F240" s="13"/>
      <c r="G240" s="12"/>
      <c r="H240" s="13"/>
    </row>
    <row r="241" spans="3:8">
      <c r="C241" s="9"/>
      <c r="D241" s="10"/>
      <c r="E241" s="13"/>
      <c r="F241" s="13"/>
      <c r="G241" s="12"/>
      <c r="H241" s="13"/>
    </row>
    <row r="242" spans="3:8">
      <c r="C242" s="9"/>
      <c r="D242" s="10"/>
      <c r="E242" s="13"/>
      <c r="F242" s="13"/>
      <c r="G242" s="12"/>
      <c r="H242" s="13"/>
    </row>
    <row r="243" spans="3:8">
      <c r="C243" s="9"/>
      <c r="D243" s="10"/>
      <c r="E243" s="13"/>
      <c r="F243" s="13"/>
      <c r="G243" s="12"/>
      <c r="H243" s="13"/>
    </row>
    <row r="244" spans="3:8">
      <c r="C244" s="9"/>
      <c r="D244" s="10"/>
      <c r="E244" s="13"/>
      <c r="F244" s="13"/>
      <c r="G244" s="12"/>
      <c r="H244" s="13"/>
    </row>
    <row r="245" spans="3:8">
      <c r="C245" s="9"/>
      <c r="D245" s="10"/>
      <c r="E245" s="13"/>
      <c r="F245" s="13"/>
      <c r="G245" s="12"/>
      <c r="H245" s="13"/>
    </row>
    <row r="246" spans="3:8">
      <c r="C246" s="9"/>
      <c r="D246" s="10"/>
      <c r="E246" s="13"/>
      <c r="F246" s="13"/>
      <c r="G246" s="12"/>
      <c r="H246" s="13"/>
    </row>
    <row r="247" spans="3:8">
      <c r="C247" s="9"/>
      <c r="D247" s="10"/>
      <c r="E247" s="13"/>
      <c r="F247" s="13"/>
      <c r="G247" s="12"/>
      <c r="H247" s="13"/>
    </row>
    <row r="248" spans="3:8">
      <c r="C248" s="9"/>
      <c r="D248" s="10"/>
      <c r="E248" s="13"/>
      <c r="F248" s="13"/>
      <c r="G248" s="12"/>
      <c r="H248" s="13"/>
    </row>
    <row r="249" spans="3:8">
      <c r="C249" s="9"/>
      <c r="D249" s="10"/>
      <c r="E249" s="13"/>
      <c r="F249" s="13"/>
      <c r="G249" s="12"/>
      <c r="H249" s="13"/>
    </row>
    <row r="250" spans="3:8">
      <c r="C250" s="9"/>
      <c r="D250" s="10"/>
      <c r="E250" s="13"/>
      <c r="F250" s="13"/>
      <c r="G250" s="12"/>
      <c r="H250" s="13"/>
    </row>
    <row r="251" spans="3:8">
      <c r="C251" s="9"/>
      <c r="D251" s="10"/>
      <c r="E251" s="13"/>
      <c r="F251" s="13"/>
      <c r="G251" s="12"/>
      <c r="H251" s="13"/>
    </row>
    <row r="252" spans="3:8">
      <c r="C252" s="9"/>
      <c r="D252" s="10"/>
      <c r="E252" s="13"/>
      <c r="F252" s="13"/>
      <c r="G252" s="12"/>
      <c r="H252" s="13"/>
    </row>
    <row r="253" spans="3:8">
      <c r="C253" s="9"/>
      <c r="D253" s="10"/>
      <c r="E253" s="13"/>
      <c r="F253" s="13"/>
      <c r="G253" s="12"/>
      <c r="H253" s="13"/>
    </row>
    <row r="254" spans="3:8">
      <c r="C254" s="9"/>
      <c r="D254" s="10"/>
      <c r="E254" s="13"/>
      <c r="F254" s="13"/>
      <c r="G254" s="12"/>
      <c r="H254" s="13"/>
    </row>
    <row r="255" spans="3:8">
      <c r="G255" s="12"/>
    </row>
    <row r="256" spans="3:8">
      <c r="G256" s="12"/>
    </row>
    <row r="257" spans="7:7">
      <c r="G257" s="12"/>
    </row>
    <row r="258" spans="7:7">
      <c r="G258" s="12"/>
    </row>
    <row r="259" spans="7:7">
      <c r="G259" s="12"/>
    </row>
    <row r="260" spans="7:7">
      <c r="G260" s="12"/>
    </row>
    <row r="261" spans="7:7">
      <c r="G261" s="12"/>
    </row>
    <row r="262" spans="7:7">
      <c r="G262" s="12"/>
    </row>
    <row r="263" spans="7:7">
      <c r="G263" s="12"/>
    </row>
    <row r="264" spans="7:7">
      <c r="G264" s="12"/>
    </row>
    <row r="265" spans="7:7">
      <c r="G265" s="12"/>
    </row>
    <row r="266" spans="7:7">
      <c r="G266" s="12"/>
    </row>
    <row r="267" spans="7:7">
      <c r="G267" s="12"/>
    </row>
    <row r="268" spans="7:7">
      <c r="G268" s="12"/>
    </row>
    <row r="269" spans="7:7">
      <c r="G269" s="12"/>
    </row>
    <row r="270" spans="7:7">
      <c r="G270" s="12"/>
    </row>
    <row r="271" spans="7:7">
      <c r="G271" s="12"/>
    </row>
    <row r="272" spans="7:7">
      <c r="G272" s="12"/>
    </row>
    <row r="273" spans="7:7">
      <c r="G273" s="12"/>
    </row>
    <row r="274" spans="7:7">
      <c r="G274" s="12"/>
    </row>
    <row r="275" spans="7:7">
      <c r="G275" s="12"/>
    </row>
    <row r="276" spans="7:7">
      <c r="G276" s="12"/>
    </row>
    <row r="277" spans="7:7">
      <c r="G277" s="12"/>
    </row>
    <row r="278" spans="7:7">
      <c r="G278" s="12"/>
    </row>
    <row r="279" spans="7:7">
      <c r="G279" s="12"/>
    </row>
    <row r="280" spans="7:7">
      <c r="G280" s="12"/>
    </row>
    <row r="281" spans="7:7">
      <c r="G281" s="12"/>
    </row>
    <row r="282" spans="7:7">
      <c r="G282" s="12"/>
    </row>
    <row r="283" spans="7:7">
      <c r="G283" s="12"/>
    </row>
    <row r="284" spans="7:7">
      <c r="G284" s="12"/>
    </row>
    <row r="285" spans="7:7">
      <c r="G285" s="12"/>
    </row>
    <row r="286" spans="7:7">
      <c r="G286" s="12"/>
    </row>
    <row r="287" spans="7:7">
      <c r="G287" s="12"/>
    </row>
    <row r="288" spans="7:7">
      <c r="G288" s="12"/>
    </row>
    <row r="289" spans="7:7">
      <c r="G289" s="12"/>
    </row>
    <row r="290" spans="7:7">
      <c r="G290" s="12"/>
    </row>
    <row r="291" spans="7:7">
      <c r="G291" s="12"/>
    </row>
    <row r="292" spans="7:7">
      <c r="G292" s="12"/>
    </row>
    <row r="293" spans="7:7">
      <c r="G293" s="12"/>
    </row>
    <row r="294" spans="7:7">
      <c r="G294" s="12"/>
    </row>
    <row r="295" spans="7:7">
      <c r="G295" s="12"/>
    </row>
    <row r="296" spans="7:7">
      <c r="G296" s="12"/>
    </row>
    <row r="297" spans="7:7">
      <c r="G297" s="12"/>
    </row>
    <row r="298" spans="7:7">
      <c r="G298" s="12"/>
    </row>
    <row r="299" spans="7:7">
      <c r="G299" s="12"/>
    </row>
    <row r="300" spans="7:7">
      <c r="G300" s="12"/>
    </row>
    <row r="301" spans="7:7">
      <c r="G301" s="12"/>
    </row>
    <row r="302" spans="7:7">
      <c r="G302" s="12"/>
    </row>
    <row r="303" spans="7:7">
      <c r="G303" s="12"/>
    </row>
    <row r="304" spans="7:7">
      <c r="G304" s="12"/>
    </row>
    <row r="305" spans="7:7">
      <c r="G305" s="12"/>
    </row>
    <row r="306" spans="7:7">
      <c r="G306" s="12"/>
    </row>
    <row r="307" spans="7:7">
      <c r="G307" s="12"/>
    </row>
    <row r="308" spans="7:7">
      <c r="G308" s="12"/>
    </row>
    <row r="309" spans="7:7">
      <c r="G309" s="12"/>
    </row>
    <row r="310" spans="7:7">
      <c r="G310" s="12"/>
    </row>
    <row r="311" spans="7:7">
      <c r="G311" s="12"/>
    </row>
    <row r="312" spans="7:7">
      <c r="G312" s="12"/>
    </row>
    <row r="313" spans="7:7">
      <c r="G313" s="12"/>
    </row>
    <row r="314" spans="7:7">
      <c r="G314" s="12"/>
    </row>
    <row r="315" spans="7:7">
      <c r="G315" s="12"/>
    </row>
    <row r="316" spans="7:7">
      <c r="G316" s="12"/>
    </row>
    <row r="317" spans="7:7">
      <c r="G317" s="12"/>
    </row>
    <row r="318" spans="7:7">
      <c r="G318" s="12"/>
    </row>
    <row r="319" spans="7:7">
      <c r="G319" s="12"/>
    </row>
    <row r="320" spans="7:7">
      <c r="G320" s="12"/>
    </row>
    <row r="321" spans="7:7">
      <c r="G321" s="12"/>
    </row>
    <row r="322" spans="7:7">
      <c r="G322" s="12"/>
    </row>
    <row r="323" spans="7:7">
      <c r="G323" s="12"/>
    </row>
    <row r="324" spans="7:7">
      <c r="G324" s="12"/>
    </row>
    <row r="325" spans="7:7">
      <c r="G325" s="12"/>
    </row>
    <row r="326" spans="7:7">
      <c r="G326" s="12"/>
    </row>
    <row r="327" spans="7:7">
      <c r="G327" s="12"/>
    </row>
    <row r="328" spans="7:7">
      <c r="G328" s="12"/>
    </row>
    <row r="329" spans="7:7">
      <c r="G329" s="12"/>
    </row>
    <row r="330" spans="7:7">
      <c r="G330" s="12"/>
    </row>
    <row r="331" spans="7:7">
      <c r="G331" s="12"/>
    </row>
    <row r="332" spans="7:7">
      <c r="G332" s="12"/>
    </row>
    <row r="333" spans="7:7">
      <c r="G333" s="12"/>
    </row>
    <row r="334" spans="7:7">
      <c r="G334" s="12"/>
    </row>
    <row r="335" spans="7:7">
      <c r="G335" s="12"/>
    </row>
    <row r="336" spans="7:7">
      <c r="G336" s="12"/>
    </row>
    <row r="337" spans="7:7">
      <c r="G337" s="12"/>
    </row>
    <row r="338" spans="7:7">
      <c r="G338" s="12"/>
    </row>
    <row r="339" spans="7:7">
      <c r="G339" s="12"/>
    </row>
    <row r="340" spans="7:7">
      <c r="G340" s="12"/>
    </row>
    <row r="341" spans="7:7">
      <c r="G341" s="12"/>
    </row>
    <row r="342" spans="7:7">
      <c r="G342" s="12"/>
    </row>
    <row r="343" spans="7:7">
      <c r="G343" s="12"/>
    </row>
    <row r="344" spans="7:7">
      <c r="G344" s="12"/>
    </row>
    <row r="345" spans="7:7">
      <c r="G345" s="12"/>
    </row>
    <row r="346" spans="7:7">
      <c r="G346" s="12"/>
    </row>
    <row r="347" spans="7:7">
      <c r="G347" s="12"/>
    </row>
    <row r="348" spans="7:7">
      <c r="G348" s="12"/>
    </row>
    <row r="349" spans="7:7">
      <c r="G349" s="12"/>
    </row>
    <row r="350" spans="7:7">
      <c r="G350" s="12"/>
    </row>
    <row r="351" spans="7:7">
      <c r="G351" s="12"/>
    </row>
    <row r="352" spans="7:7">
      <c r="G352" s="12"/>
    </row>
    <row r="353" spans="7:7">
      <c r="G353" s="12"/>
    </row>
    <row r="354" spans="7:7">
      <c r="G354" s="12"/>
    </row>
    <row r="355" spans="7:7">
      <c r="G355" s="12"/>
    </row>
    <row r="356" spans="7:7">
      <c r="G356" s="12"/>
    </row>
    <row r="357" spans="7:7">
      <c r="G357" s="12"/>
    </row>
    <row r="358" spans="7:7">
      <c r="G358" s="12"/>
    </row>
    <row r="359" spans="7:7">
      <c r="G359" s="12"/>
    </row>
    <row r="360" spans="7:7">
      <c r="G360" s="12"/>
    </row>
    <row r="361" spans="7:7">
      <c r="G361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BBAC-9964-444F-9012-9CE5CD96665B}">
  <dimension ref="C1:H361"/>
  <sheetViews>
    <sheetView workbookViewId="0">
      <selection activeCell="H4" sqref="H4"/>
    </sheetView>
  </sheetViews>
  <sheetFormatPr defaultRowHeight="14.5"/>
  <cols>
    <col min="3" max="3" width="17.26953125" style="1" bestFit="1" customWidth="1"/>
    <col min="4" max="4" width="15.81640625" style="1" customWidth="1"/>
    <col min="5" max="5" width="17.26953125" style="1" bestFit="1" customWidth="1"/>
    <col min="6" max="6" width="20.54296875" style="1" bestFit="1" customWidth="1"/>
    <col min="7" max="7" width="15.26953125" style="14" customWidth="1"/>
    <col min="8" max="8" width="11.453125" style="1" customWidth="1"/>
  </cols>
  <sheetData>
    <row r="1" spans="3:8">
      <c r="F1" s="2" t="s">
        <v>0</v>
      </c>
      <c r="G1" s="3">
        <v>250</v>
      </c>
    </row>
    <row r="2" spans="3:8">
      <c r="F2" s="2" t="s">
        <v>1</v>
      </c>
      <c r="G2" s="3">
        <f>SUM(G5:G254)</f>
        <v>1286.5006615153395</v>
      </c>
    </row>
    <row r="3" spans="3:8">
      <c r="F3" s="4" t="s">
        <v>2</v>
      </c>
      <c r="G3" s="5">
        <f>G2/G1</f>
        <v>5.1460026460613584</v>
      </c>
    </row>
    <row r="4" spans="3:8">
      <c r="C4" s="6" t="s">
        <v>3</v>
      </c>
      <c r="D4" s="7" t="s">
        <v>4</v>
      </c>
      <c r="E4" s="6" t="s">
        <v>5</v>
      </c>
      <c r="F4" s="6" t="s">
        <v>6</v>
      </c>
      <c r="G4" s="8" t="s">
        <v>7</v>
      </c>
      <c r="H4" s="6" t="s">
        <v>9</v>
      </c>
    </row>
    <row r="5" spans="3:8">
      <c r="C5" s="9">
        <v>45946.7206365741</v>
      </c>
      <c r="D5" s="10">
        <v>0</v>
      </c>
      <c r="E5" s="11">
        <v>124.2</v>
      </c>
      <c r="F5" s="11">
        <v>113</v>
      </c>
      <c r="G5" s="12">
        <f>(E5-F5)/F5</f>
        <v>9.9115044247787637E-2</v>
      </c>
      <c r="H5" s="11">
        <v>2.0799999999999999E-2</v>
      </c>
    </row>
    <row r="6" spans="3:8">
      <c r="C6" s="9">
        <v>45946.721435185202</v>
      </c>
      <c r="D6" s="10">
        <v>1</v>
      </c>
      <c r="E6" s="11">
        <v>124</v>
      </c>
      <c r="F6" s="11">
        <v>114.9</v>
      </c>
      <c r="G6" s="12">
        <f t="shared" ref="G6:G69" si="0">(E6-F6)/F6</f>
        <v>7.9199303742384625E-2</v>
      </c>
      <c r="H6" s="11">
        <v>2.0799999999999999E-2</v>
      </c>
    </row>
    <row r="7" spans="3:8">
      <c r="C7" s="9">
        <v>45946.722187500003</v>
      </c>
      <c r="D7" s="10">
        <v>2</v>
      </c>
      <c r="E7" s="11">
        <v>124.2</v>
      </c>
      <c r="F7" s="11">
        <v>118.2</v>
      </c>
      <c r="G7" s="12">
        <f t="shared" si="0"/>
        <v>5.0761421319796954E-2</v>
      </c>
      <c r="H7" s="11">
        <v>2.0799999999999999E-2</v>
      </c>
    </row>
    <row r="8" spans="3:8">
      <c r="C8" s="9">
        <v>45946.722951388903</v>
      </c>
      <c r="D8" s="10">
        <v>3</v>
      </c>
      <c r="E8" s="11">
        <v>124</v>
      </c>
      <c r="F8" s="11">
        <v>111.2</v>
      </c>
      <c r="G8" s="12">
        <f t="shared" si="0"/>
        <v>0.11510791366906473</v>
      </c>
      <c r="H8" s="11">
        <v>2.0799999999999999E-2</v>
      </c>
    </row>
    <row r="9" spans="3:8">
      <c r="C9" s="9">
        <v>45946.723692129599</v>
      </c>
      <c r="D9" s="10">
        <v>4</v>
      </c>
      <c r="E9" s="11">
        <v>124.2</v>
      </c>
      <c r="F9" s="11">
        <v>118.8</v>
      </c>
      <c r="G9" s="12">
        <f t="shared" si="0"/>
        <v>4.5454545454545504E-2</v>
      </c>
      <c r="H9" s="11">
        <v>2.0799999999999999E-2</v>
      </c>
    </row>
    <row r="10" spans="3:8">
      <c r="C10" s="9">
        <v>45946.724456018499</v>
      </c>
      <c r="D10" s="10">
        <v>5</v>
      </c>
      <c r="E10" s="11">
        <v>124</v>
      </c>
      <c r="F10" s="11">
        <v>118.8</v>
      </c>
      <c r="G10" s="12">
        <f t="shared" si="0"/>
        <v>4.3771043771043794E-2</v>
      </c>
      <c r="H10" s="11">
        <v>2.0799999999999999E-2</v>
      </c>
    </row>
    <row r="11" spans="3:8">
      <c r="C11" s="9">
        <v>45946.725196759297</v>
      </c>
      <c r="D11" s="10">
        <v>6</v>
      </c>
      <c r="E11" s="11">
        <v>123.8</v>
      </c>
      <c r="F11" s="11">
        <v>119.6</v>
      </c>
      <c r="G11" s="12">
        <f t="shared" si="0"/>
        <v>3.5117056856187316E-2</v>
      </c>
      <c r="H11" s="11">
        <v>2.0799999999999999E-2</v>
      </c>
    </row>
    <row r="12" spans="3:8">
      <c r="C12" s="9">
        <v>45946.725960648102</v>
      </c>
      <c r="D12" s="10">
        <v>7</v>
      </c>
      <c r="E12" s="11">
        <v>124.4</v>
      </c>
      <c r="F12" s="11">
        <v>113.6</v>
      </c>
      <c r="G12" s="12">
        <f t="shared" si="0"/>
        <v>9.5070422535211377E-2</v>
      </c>
      <c r="H12" s="11">
        <v>2.0799999999999999E-2</v>
      </c>
    </row>
    <row r="13" spans="3:8">
      <c r="C13" s="9">
        <v>45946.726712962998</v>
      </c>
      <c r="D13" s="10">
        <v>8</v>
      </c>
      <c r="E13" s="11">
        <v>125.1</v>
      </c>
      <c r="F13" s="11">
        <v>110.6</v>
      </c>
      <c r="G13" s="12">
        <f t="shared" si="0"/>
        <v>0.13110307414104883</v>
      </c>
      <c r="H13" s="11">
        <v>2.0799999999999999E-2</v>
      </c>
    </row>
    <row r="14" spans="3:8">
      <c r="C14" s="9">
        <v>45946.727453703701</v>
      </c>
      <c r="D14" s="10">
        <v>9</v>
      </c>
      <c r="E14" s="11">
        <v>127.1</v>
      </c>
      <c r="F14" s="11">
        <v>116.4</v>
      </c>
      <c r="G14" s="12">
        <f t="shared" si="0"/>
        <v>9.1924398625429449E-2</v>
      </c>
      <c r="H14" s="11">
        <v>2.0799999999999999E-2</v>
      </c>
    </row>
    <row r="15" spans="3:8">
      <c r="C15" s="9">
        <v>45946.728206018503</v>
      </c>
      <c r="D15" s="10">
        <v>10</v>
      </c>
      <c r="E15" s="11">
        <v>127.1</v>
      </c>
      <c r="F15" s="11">
        <v>118.6</v>
      </c>
      <c r="G15" s="12">
        <f t="shared" si="0"/>
        <v>7.1669477234401355E-2</v>
      </c>
      <c r="H15" s="11">
        <v>2.0799999999999999E-2</v>
      </c>
    </row>
    <row r="16" spans="3:8">
      <c r="C16" s="9">
        <v>45946.728958333297</v>
      </c>
      <c r="D16" s="10">
        <v>11</v>
      </c>
      <c r="E16" s="11">
        <v>125.5</v>
      </c>
      <c r="F16" s="11">
        <v>117.9</v>
      </c>
      <c r="G16" s="12">
        <f t="shared" si="0"/>
        <v>6.4461407972858306E-2</v>
      </c>
      <c r="H16" s="11">
        <v>2.0799999999999999E-2</v>
      </c>
    </row>
    <row r="17" spans="3:8">
      <c r="C17" s="9">
        <v>45946.729710648098</v>
      </c>
      <c r="D17" s="10">
        <v>12</v>
      </c>
      <c r="E17" s="11">
        <v>123.7</v>
      </c>
      <c r="F17" s="11">
        <v>110</v>
      </c>
      <c r="G17" s="12">
        <f t="shared" si="0"/>
        <v>0.12454545454545457</v>
      </c>
      <c r="H17" s="11">
        <v>2.0799999999999999E-2</v>
      </c>
    </row>
    <row r="18" spans="3:8">
      <c r="C18" s="9">
        <v>45946.730462963002</v>
      </c>
      <c r="D18" s="10">
        <v>13</v>
      </c>
      <c r="E18" s="11">
        <v>123.1</v>
      </c>
      <c r="F18" s="11">
        <v>117.3</v>
      </c>
      <c r="G18" s="12">
        <f t="shared" si="0"/>
        <v>4.9445865302642771E-2</v>
      </c>
      <c r="H18" s="11">
        <v>2.0799999999999999E-2</v>
      </c>
    </row>
    <row r="19" spans="3:8">
      <c r="C19" s="9">
        <v>45946.731215277803</v>
      </c>
      <c r="D19" s="10">
        <v>14</v>
      </c>
      <c r="E19" s="11">
        <v>124.7</v>
      </c>
      <c r="F19" s="11">
        <v>118.2</v>
      </c>
      <c r="G19" s="12">
        <f t="shared" si="0"/>
        <v>5.4991539763113363E-2</v>
      </c>
      <c r="H19" s="11">
        <v>2.0799999999999999E-2</v>
      </c>
    </row>
    <row r="20" spans="3:8">
      <c r="C20" s="9">
        <v>45946.731967592597</v>
      </c>
      <c r="D20" s="10">
        <v>15</v>
      </c>
      <c r="E20" s="11">
        <v>125.3</v>
      </c>
      <c r="F20" s="11">
        <v>119.4</v>
      </c>
      <c r="G20" s="12">
        <f t="shared" si="0"/>
        <v>4.9413735343383509E-2</v>
      </c>
      <c r="H20" s="11">
        <v>2.0799999999999999E-2</v>
      </c>
    </row>
    <row r="21" spans="3:8">
      <c r="C21" s="9">
        <v>45946.732719907399</v>
      </c>
      <c r="D21" s="10">
        <v>16</v>
      </c>
      <c r="E21" s="11">
        <v>123.8</v>
      </c>
      <c r="F21" s="11">
        <v>111.6</v>
      </c>
      <c r="G21" s="12">
        <f t="shared" si="0"/>
        <v>0.10931899641577064</v>
      </c>
      <c r="H21" s="11">
        <v>2.0799999999999999E-2</v>
      </c>
    </row>
    <row r="22" spans="3:8">
      <c r="C22" s="9">
        <v>45946.7334722222</v>
      </c>
      <c r="D22" s="10">
        <v>17</v>
      </c>
      <c r="E22" s="11">
        <v>123.8</v>
      </c>
      <c r="F22" s="11">
        <v>119.7</v>
      </c>
      <c r="G22" s="12">
        <f t="shared" si="0"/>
        <v>3.4252297410192097E-2</v>
      </c>
      <c r="H22" s="11">
        <v>2.0799999999999999E-2</v>
      </c>
    </row>
    <row r="23" spans="3:8">
      <c r="C23" s="9">
        <v>45946.734224537002</v>
      </c>
      <c r="D23" s="10">
        <v>18</v>
      </c>
      <c r="E23" s="11">
        <v>126.4</v>
      </c>
      <c r="F23" s="11">
        <v>112.4</v>
      </c>
      <c r="G23" s="12">
        <f t="shared" si="0"/>
        <v>0.12455516014234874</v>
      </c>
      <c r="H23" s="11">
        <v>2.0799999999999999E-2</v>
      </c>
    </row>
    <row r="24" spans="3:8">
      <c r="C24" s="9">
        <v>45946.734976851898</v>
      </c>
      <c r="D24" s="10">
        <v>19</v>
      </c>
      <c r="E24" s="11">
        <v>126.5</v>
      </c>
      <c r="F24" s="11">
        <v>111.3</v>
      </c>
      <c r="G24" s="12">
        <f t="shared" si="0"/>
        <v>0.13656783468104225</v>
      </c>
      <c r="H24" s="11">
        <v>2.0799999999999999E-2</v>
      </c>
    </row>
    <row r="25" spans="3:8">
      <c r="C25" s="9">
        <v>45946.735729166699</v>
      </c>
      <c r="D25" s="10">
        <v>20</v>
      </c>
      <c r="E25" s="11">
        <v>128.5</v>
      </c>
      <c r="F25" s="11">
        <v>118.1</v>
      </c>
      <c r="G25" s="12">
        <f t="shared" si="0"/>
        <v>8.8060965283657963E-2</v>
      </c>
      <c r="H25" s="11">
        <v>2.0799999999999999E-2</v>
      </c>
    </row>
    <row r="26" spans="3:8">
      <c r="C26" s="9">
        <v>45946.736481481501</v>
      </c>
      <c r="D26" s="10">
        <v>21</v>
      </c>
      <c r="E26" s="11">
        <v>130.5</v>
      </c>
      <c r="F26" s="11">
        <v>111.1</v>
      </c>
      <c r="G26" s="12">
        <f t="shared" si="0"/>
        <v>0.17461746174617468</v>
      </c>
      <c r="H26" s="11">
        <v>2.0799999999999999E-2</v>
      </c>
    </row>
    <row r="27" spans="3:8">
      <c r="C27" s="9">
        <v>45946.737233796302</v>
      </c>
      <c r="D27" s="10">
        <v>22</v>
      </c>
      <c r="E27" s="11">
        <v>132.5</v>
      </c>
      <c r="F27" s="11">
        <v>112.2</v>
      </c>
      <c r="G27" s="12">
        <f t="shared" si="0"/>
        <v>0.18092691622103385</v>
      </c>
      <c r="H27" s="11">
        <v>2.0799999999999999E-2</v>
      </c>
    </row>
    <row r="28" spans="3:8">
      <c r="C28" s="9">
        <v>45946.737986111097</v>
      </c>
      <c r="D28" s="10">
        <v>23</v>
      </c>
      <c r="E28" s="11">
        <v>134.5</v>
      </c>
      <c r="F28" s="11">
        <v>116.8</v>
      </c>
      <c r="G28" s="12">
        <f t="shared" si="0"/>
        <v>0.15154109589041098</v>
      </c>
      <c r="H28" s="11">
        <v>2.0799999999999999E-2</v>
      </c>
    </row>
    <row r="29" spans="3:8">
      <c r="C29" s="9">
        <v>45946.738796296297</v>
      </c>
      <c r="D29" s="10">
        <v>24</v>
      </c>
      <c r="E29" s="11">
        <v>136.4</v>
      </c>
      <c r="F29" s="11">
        <v>117.8</v>
      </c>
      <c r="G29" s="12">
        <f t="shared" si="0"/>
        <v>0.15789473684210534</v>
      </c>
      <c r="H29" s="11">
        <v>2.0799999999999999E-2</v>
      </c>
    </row>
    <row r="30" spans="3:8">
      <c r="C30" s="9">
        <v>45946.739548611098</v>
      </c>
      <c r="D30" s="10">
        <v>25</v>
      </c>
      <c r="E30" s="11">
        <v>138.4</v>
      </c>
      <c r="F30" s="11">
        <v>113</v>
      </c>
      <c r="G30" s="12">
        <f t="shared" si="0"/>
        <v>0.22477876106194694</v>
      </c>
      <c r="H30" s="11">
        <v>2.0799999999999999E-2</v>
      </c>
    </row>
    <row r="31" spans="3:8">
      <c r="C31" s="9">
        <v>45946.7403009259</v>
      </c>
      <c r="D31" s="10">
        <v>26</v>
      </c>
      <c r="E31" s="11">
        <v>140.6</v>
      </c>
      <c r="F31" s="11">
        <v>115</v>
      </c>
      <c r="G31" s="12">
        <f t="shared" si="0"/>
        <v>0.22260869565217387</v>
      </c>
      <c r="H31" s="11">
        <v>2.0799999999999999E-2</v>
      </c>
    </row>
    <row r="32" spans="3:8">
      <c r="C32" s="9">
        <v>45946.741053240701</v>
      </c>
      <c r="D32" s="10">
        <v>27</v>
      </c>
      <c r="E32" s="11">
        <v>142.6</v>
      </c>
      <c r="F32" s="11">
        <v>110.3</v>
      </c>
      <c r="G32" s="12">
        <f t="shared" si="0"/>
        <v>0.29283771532184949</v>
      </c>
      <c r="H32" s="11">
        <v>2.0799999999999999E-2</v>
      </c>
    </row>
    <row r="33" spans="3:8">
      <c r="C33" s="9">
        <v>45946.741805555597</v>
      </c>
      <c r="D33" s="10">
        <v>28</v>
      </c>
      <c r="E33" s="11">
        <v>144.5</v>
      </c>
      <c r="F33" s="11">
        <v>110.2</v>
      </c>
      <c r="G33" s="12">
        <f t="shared" si="0"/>
        <v>0.31125226860254079</v>
      </c>
      <c r="H33" s="11">
        <v>2.0799999999999999E-2</v>
      </c>
    </row>
    <row r="34" spans="3:8">
      <c r="C34" s="9">
        <v>45946.742557870399</v>
      </c>
      <c r="D34" s="10">
        <v>29</v>
      </c>
      <c r="E34" s="11">
        <v>146.5</v>
      </c>
      <c r="F34" s="11">
        <v>118.6</v>
      </c>
      <c r="G34" s="12">
        <f t="shared" si="0"/>
        <v>0.23524451939291743</v>
      </c>
      <c r="H34" s="11">
        <v>2.0799999999999999E-2</v>
      </c>
    </row>
    <row r="35" spans="3:8">
      <c r="C35" s="9">
        <v>45946.7433101852</v>
      </c>
      <c r="D35" s="10">
        <v>30</v>
      </c>
      <c r="E35" s="11">
        <v>148.5</v>
      </c>
      <c r="F35" s="11">
        <v>115.4</v>
      </c>
      <c r="G35" s="12">
        <f t="shared" si="0"/>
        <v>0.28682842287694965</v>
      </c>
      <c r="H35" s="11">
        <v>4.4999999999999998E-2</v>
      </c>
    </row>
    <row r="36" spans="3:8">
      <c r="C36" s="9">
        <v>45946.744062500002</v>
      </c>
      <c r="D36" s="10">
        <v>31</v>
      </c>
      <c r="E36" s="11">
        <v>150.5</v>
      </c>
      <c r="F36" s="11">
        <v>118.8</v>
      </c>
      <c r="G36" s="12">
        <f t="shared" si="0"/>
        <v>0.26683501683501687</v>
      </c>
      <c r="H36" s="11">
        <v>4.4999999999999998E-2</v>
      </c>
    </row>
    <row r="37" spans="3:8">
      <c r="C37" s="9">
        <v>45946.744814814803</v>
      </c>
      <c r="D37" s="10">
        <v>32</v>
      </c>
      <c r="E37" s="11">
        <v>152.5</v>
      </c>
      <c r="F37" s="11">
        <v>117.2</v>
      </c>
      <c r="G37" s="12">
        <f t="shared" si="0"/>
        <v>0.30119453924914674</v>
      </c>
      <c r="H37" s="11">
        <v>4.4999999999999998E-2</v>
      </c>
    </row>
    <row r="38" spans="3:8">
      <c r="C38" s="9">
        <v>45946.745567129597</v>
      </c>
      <c r="D38" s="10">
        <v>33</v>
      </c>
      <c r="E38" s="11">
        <v>154.4</v>
      </c>
      <c r="F38" s="11">
        <v>116.4</v>
      </c>
      <c r="G38" s="12">
        <f t="shared" si="0"/>
        <v>0.32646048109965636</v>
      </c>
      <c r="H38" s="11">
        <v>4.4999999999999998E-2</v>
      </c>
    </row>
    <row r="39" spans="3:8">
      <c r="C39" s="9">
        <v>45946.746319444399</v>
      </c>
      <c r="D39" s="10">
        <v>34</v>
      </c>
      <c r="E39" s="11">
        <v>156.4</v>
      </c>
      <c r="F39" s="11">
        <v>116.5</v>
      </c>
      <c r="G39" s="12">
        <f t="shared" si="0"/>
        <v>0.34248927038626614</v>
      </c>
      <c r="H39" s="11">
        <v>4.4999999999999998E-2</v>
      </c>
    </row>
    <row r="40" spans="3:8">
      <c r="C40" s="9">
        <v>45946.747071759302</v>
      </c>
      <c r="D40" s="10">
        <v>35</v>
      </c>
      <c r="E40" s="11">
        <v>158.6</v>
      </c>
      <c r="F40" s="11">
        <v>117.9</v>
      </c>
      <c r="G40" s="12">
        <f t="shared" si="0"/>
        <v>0.34520780322307026</v>
      </c>
      <c r="H40" s="11">
        <v>4.4999999999999998E-2</v>
      </c>
    </row>
    <row r="41" spans="3:8">
      <c r="C41" s="9">
        <v>45946.747824074097</v>
      </c>
      <c r="D41" s="10">
        <v>36</v>
      </c>
      <c r="E41" s="11">
        <v>160.6</v>
      </c>
      <c r="F41" s="11">
        <v>117.1</v>
      </c>
      <c r="G41" s="12">
        <f t="shared" si="0"/>
        <v>0.37147736976942786</v>
      </c>
      <c r="H41" s="11">
        <v>4.4999999999999998E-2</v>
      </c>
    </row>
    <row r="42" spans="3:8">
      <c r="C42" s="9">
        <v>45946.748576388898</v>
      </c>
      <c r="D42" s="10">
        <v>37</v>
      </c>
      <c r="E42" s="11">
        <v>162.5</v>
      </c>
      <c r="F42" s="11">
        <v>111</v>
      </c>
      <c r="G42" s="12">
        <f t="shared" si="0"/>
        <v>0.46396396396396394</v>
      </c>
      <c r="H42" s="11">
        <v>4.4999999999999998E-2</v>
      </c>
    </row>
    <row r="43" spans="3:8">
      <c r="C43" s="9">
        <v>45946.7493287037</v>
      </c>
      <c r="D43" s="10">
        <v>38</v>
      </c>
      <c r="E43" s="11">
        <v>164.5</v>
      </c>
      <c r="F43" s="11">
        <v>117.3</v>
      </c>
      <c r="G43" s="12">
        <f t="shared" si="0"/>
        <v>0.40238704177323109</v>
      </c>
      <c r="H43" s="11">
        <v>4.4999999999999998E-2</v>
      </c>
    </row>
    <row r="44" spans="3:8">
      <c r="C44" s="9">
        <v>45946.750069444402</v>
      </c>
      <c r="D44" s="10">
        <v>39</v>
      </c>
      <c r="E44" s="11">
        <v>166.5</v>
      </c>
      <c r="F44" s="11">
        <v>112.3</v>
      </c>
      <c r="G44" s="12">
        <f t="shared" si="0"/>
        <v>0.48263579697239539</v>
      </c>
      <c r="H44" s="11">
        <v>4.4999999999999998E-2</v>
      </c>
    </row>
    <row r="45" spans="3:8">
      <c r="C45" s="9">
        <v>45946.750821759299</v>
      </c>
      <c r="D45" s="10">
        <v>40</v>
      </c>
      <c r="E45" s="11">
        <v>168.5</v>
      </c>
      <c r="F45" s="11">
        <v>119</v>
      </c>
      <c r="G45" s="12">
        <f t="shared" si="0"/>
        <v>0.41596638655462187</v>
      </c>
      <c r="H45" s="11">
        <v>4.4999999999999998E-2</v>
      </c>
    </row>
    <row r="46" spans="3:8">
      <c r="C46" s="9">
        <v>45946.7515740741</v>
      </c>
      <c r="D46" s="10">
        <v>41</v>
      </c>
      <c r="E46" s="11">
        <v>170.5</v>
      </c>
      <c r="F46" s="11">
        <v>110.7</v>
      </c>
      <c r="G46" s="12">
        <f t="shared" si="0"/>
        <v>0.54019873532068652</v>
      </c>
      <c r="H46" s="11">
        <v>4.4999999999999998E-2</v>
      </c>
    </row>
    <row r="47" spans="3:8">
      <c r="C47" s="9">
        <v>45946.752326388902</v>
      </c>
      <c r="D47" s="10">
        <v>42</v>
      </c>
      <c r="E47" s="11">
        <v>172.4</v>
      </c>
      <c r="F47" s="11">
        <v>116.1</v>
      </c>
      <c r="G47" s="12">
        <f t="shared" si="0"/>
        <v>0.48492678725236876</v>
      </c>
      <c r="H47" s="11">
        <v>4.4999999999999998E-2</v>
      </c>
    </row>
    <row r="48" spans="3:8">
      <c r="C48" s="9">
        <v>45946.753078703703</v>
      </c>
      <c r="D48" s="10">
        <v>43</v>
      </c>
      <c r="E48" s="11">
        <v>174.4</v>
      </c>
      <c r="F48" s="11">
        <v>119.6</v>
      </c>
      <c r="G48" s="12">
        <f t="shared" si="0"/>
        <v>0.45819397993311051</v>
      </c>
      <c r="H48" s="11">
        <v>4.4999999999999998E-2</v>
      </c>
    </row>
    <row r="49" spans="3:8">
      <c r="C49" s="9">
        <v>45946.753831018497</v>
      </c>
      <c r="D49" s="10">
        <v>44</v>
      </c>
      <c r="E49" s="11">
        <v>120.6</v>
      </c>
      <c r="F49" s="11">
        <v>114.4</v>
      </c>
      <c r="G49" s="12">
        <f t="shared" si="0"/>
        <v>5.4195804195804095E-2</v>
      </c>
      <c r="H49" s="11">
        <v>4.4999999999999998E-2</v>
      </c>
    </row>
    <row r="50" spans="3:8">
      <c r="C50" s="9">
        <v>45946.754583333299</v>
      </c>
      <c r="D50" s="10">
        <v>45</v>
      </c>
      <c r="E50" s="11">
        <v>180.5</v>
      </c>
      <c r="F50" s="11">
        <v>112.6</v>
      </c>
      <c r="G50" s="12">
        <f t="shared" si="0"/>
        <v>0.60301953818827714</v>
      </c>
      <c r="H50" s="11">
        <v>4.4999999999999998E-2</v>
      </c>
    </row>
    <row r="51" spans="3:8">
      <c r="C51" s="9">
        <v>45946.755335648202</v>
      </c>
      <c r="D51" s="10">
        <v>46</v>
      </c>
      <c r="E51" s="11">
        <v>182.5</v>
      </c>
      <c r="F51" s="11">
        <v>115.4</v>
      </c>
      <c r="G51" s="12">
        <f t="shared" si="0"/>
        <v>0.58145580589254753</v>
      </c>
      <c r="H51" s="11">
        <v>4.4999999999999998E-2</v>
      </c>
    </row>
    <row r="52" spans="3:8">
      <c r="C52" s="9">
        <v>45946.756087962996</v>
      </c>
      <c r="D52" s="10">
        <v>47</v>
      </c>
      <c r="E52" s="11">
        <v>184.5</v>
      </c>
      <c r="F52" s="11">
        <v>118.2</v>
      </c>
      <c r="G52" s="12">
        <f t="shared" si="0"/>
        <v>0.56091370558375631</v>
      </c>
      <c r="H52" s="11">
        <v>4.4999999999999998E-2</v>
      </c>
    </row>
    <row r="53" spans="3:8">
      <c r="C53" s="9">
        <v>45946.756840277798</v>
      </c>
      <c r="D53" s="10">
        <v>48</v>
      </c>
      <c r="E53" s="11">
        <v>186.5</v>
      </c>
      <c r="F53" s="11">
        <v>119.8</v>
      </c>
      <c r="G53" s="12">
        <f t="shared" si="0"/>
        <v>0.55676126878130217</v>
      </c>
      <c r="H53" s="11">
        <v>4.4999999999999998E-2</v>
      </c>
    </row>
    <row r="54" spans="3:8">
      <c r="C54" s="9">
        <v>45946.757592592599</v>
      </c>
      <c r="D54" s="10">
        <v>49</v>
      </c>
      <c r="E54" s="11">
        <v>188.5</v>
      </c>
      <c r="F54" s="11">
        <v>116.8</v>
      </c>
      <c r="G54" s="12">
        <f t="shared" si="0"/>
        <v>0.61386986301369872</v>
      </c>
      <c r="H54" s="11">
        <v>4.4999999999999998E-2</v>
      </c>
    </row>
    <row r="55" spans="3:8">
      <c r="C55" s="9">
        <v>45946.758344907401</v>
      </c>
      <c r="D55" s="10">
        <v>50</v>
      </c>
      <c r="E55" s="11">
        <v>190.4</v>
      </c>
      <c r="F55" s="11">
        <v>113.7</v>
      </c>
      <c r="G55" s="12">
        <f t="shared" si="0"/>
        <v>0.67458223394898853</v>
      </c>
      <c r="H55" s="11">
        <v>4.4999999999999998E-2</v>
      </c>
    </row>
    <row r="56" spans="3:8">
      <c r="C56" s="9">
        <v>45946.759097222202</v>
      </c>
      <c r="D56" s="10">
        <v>51</v>
      </c>
      <c r="E56" s="11">
        <v>192.4</v>
      </c>
      <c r="F56" s="11">
        <v>116.1</v>
      </c>
      <c r="G56" s="12">
        <f t="shared" si="0"/>
        <v>0.65719207579672712</v>
      </c>
      <c r="H56" s="11">
        <v>4.4999999999999998E-2</v>
      </c>
    </row>
    <row r="57" spans="3:8">
      <c r="C57" s="9">
        <v>45946.759849536997</v>
      </c>
      <c r="D57" s="10">
        <v>52</v>
      </c>
      <c r="E57" s="11">
        <v>194.6</v>
      </c>
      <c r="F57" s="11">
        <v>119.2</v>
      </c>
      <c r="G57" s="12">
        <f t="shared" si="0"/>
        <v>0.63255033557046969</v>
      </c>
      <c r="H57" s="11">
        <v>4.4999999999999998E-2</v>
      </c>
    </row>
    <row r="58" spans="3:8">
      <c r="C58" s="9">
        <v>45946.760601851798</v>
      </c>
      <c r="D58" s="10">
        <v>53</v>
      </c>
      <c r="E58" s="11">
        <v>196.6</v>
      </c>
      <c r="F58" s="11">
        <v>115.7</v>
      </c>
      <c r="G58" s="12">
        <f t="shared" si="0"/>
        <v>0.69922212618841828</v>
      </c>
      <c r="H58" s="11">
        <v>4.4999999999999998E-2</v>
      </c>
    </row>
    <row r="59" spans="3:8">
      <c r="C59" s="9">
        <v>45946.761354166701</v>
      </c>
      <c r="D59" s="10">
        <v>54</v>
      </c>
      <c r="E59" s="11">
        <v>198.5</v>
      </c>
      <c r="F59" s="11">
        <v>114.3</v>
      </c>
      <c r="G59" s="12">
        <f t="shared" si="0"/>
        <v>0.73665791776028</v>
      </c>
      <c r="H59" s="11">
        <v>4.4999999999999998E-2</v>
      </c>
    </row>
    <row r="60" spans="3:8">
      <c r="C60" s="9">
        <v>45946.762106481503</v>
      </c>
      <c r="D60" s="10">
        <v>55</v>
      </c>
      <c r="E60" s="11">
        <v>200.5</v>
      </c>
      <c r="F60" s="11">
        <v>117.4</v>
      </c>
      <c r="G60" s="12">
        <f t="shared" si="0"/>
        <v>0.70783645655877336</v>
      </c>
      <c r="H60" s="11">
        <v>4.4999999999999998E-2</v>
      </c>
    </row>
    <row r="61" spans="3:8">
      <c r="C61" s="9">
        <v>45946.762858796297</v>
      </c>
      <c r="D61" s="10">
        <v>56</v>
      </c>
      <c r="E61" s="11">
        <v>202.5</v>
      </c>
      <c r="F61" s="11">
        <v>110.8</v>
      </c>
      <c r="G61" s="12">
        <f t="shared" si="0"/>
        <v>0.82761732851985559</v>
      </c>
      <c r="H61" s="11">
        <v>4.4999999999999998E-2</v>
      </c>
    </row>
    <row r="62" spans="3:8">
      <c r="C62" s="9">
        <v>45946.763611111099</v>
      </c>
      <c r="D62" s="10">
        <v>57</v>
      </c>
      <c r="E62" s="11">
        <v>204.5</v>
      </c>
      <c r="F62" s="11">
        <v>117.6</v>
      </c>
      <c r="G62" s="12">
        <f t="shared" si="0"/>
        <v>0.73894557823129259</v>
      </c>
      <c r="H62" s="11">
        <v>4.4999999999999998E-2</v>
      </c>
    </row>
    <row r="63" spans="3:8">
      <c r="C63" s="9">
        <v>45946.7643634259</v>
      </c>
      <c r="D63" s="10">
        <v>58</v>
      </c>
      <c r="E63" s="11">
        <v>206.5</v>
      </c>
      <c r="F63" s="11">
        <v>114.6</v>
      </c>
      <c r="G63" s="12">
        <f t="shared" si="0"/>
        <v>0.80191972076788842</v>
      </c>
      <c r="H63" s="11">
        <v>4.4999999999999998E-2</v>
      </c>
    </row>
    <row r="64" spans="3:8">
      <c r="C64" s="9">
        <v>45946.765115740702</v>
      </c>
      <c r="D64" s="10">
        <v>59</v>
      </c>
      <c r="E64" s="11">
        <v>208.4</v>
      </c>
      <c r="F64" s="11">
        <v>115.9</v>
      </c>
      <c r="G64" s="12">
        <f t="shared" si="0"/>
        <v>0.79810181190681617</v>
      </c>
      <c r="H64" s="11">
        <v>4.4999999999999998E-2</v>
      </c>
    </row>
    <row r="65" spans="3:8">
      <c r="C65" s="9">
        <v>45946.765868055598</v>
      </c>
      <c r="D65" s="10">
        <v>60</v>
      </c>
      <c r="E65" s="11">
        <v>210.4</v>
      </c>
      <c r="F65" s="11">
        <v>110.6</v>
      </c>
      <c r="G65" s="12">
        <f t="shared" si="0"/>
        <v>0.9023508137432189</v>
      </c>
      <c r="H65" s="11">
        <v>4.4999999999999998E-2</v>
      </c>
    </row>
    <row r="66" spans="3:8">
      <c r="C66" s="9">
        <v>45946.766620370399</v>
      </c>
      <c r="D66" s="10">
        <v>61</v>
      </c>
      <c r="E66" s="11">
        <v>212.6</v>
      </c>
      <c r="F66" s="11">
        <v>118.3</v>
      </c>
      <c r="G66" s="12">
        <f t="shared" si="0"/>
        <v>0.79712595097210481</v>
      </c>
      <c r="H66" s="11">
        <v>4.4999999999999998E-2</v>
      </c>
    </row>
    <row r="67" spans="3:8">
      <c r="C67" s="9">
        <v>45946.767372685201</v>
      </c>
      <c r="D67" s="10">
        <v>62</v>
      </c>
      <c r="E67" s="11">
        <v>214.6</v>
      </c>
      <c r="F67" s="11">
        <v>114.4</v>
      </c>
      <c r="G67" s="12">
        <f t="shared" si="0"/>
        <v>0.87587412587412572</v>
      </c>
      <c r="H67" s="11">
        <v>4.4999999999999998E-2</v>
      </c>
    </row>
    <row r="68" spans="3:8">
      <c r="C68" s="9">
        <v>45946.768113425896</v>
      </c>
      <c r="D68" s="10">
        <v>63</v>
      </c>
      <c r="E68" s="11">
        <v>216.5</v>
      </c>
      <c r="F68" s="11">
        <v>118.8</v>
      </c>
      <c r="G68" s="12">
        <f t="shared" si="0"/>
        <v>0.82239057239057245</v>
      </c>
      <c r="H68" s="11">
        <v>4.4999999999999998E-2</v>
      </c>
    </row>
    <row r="69" spans="3:8">
      <c r="C69" s="9">
        <v>45946.768865740698</v>
      </c>
      <c r="D69" s="10">
        <v>64</v>
      </c>
      <c r="E69" s="11">
        <v>218.5</v>
      </c>
      <c r="F69" s="11">
        <v>113.9</v>
      </c>
      <c r="G69" s="12">
        <f t="shared" si="0"/>
        <v>0.91834942932396835</v>
      </c>
      <c r="H69" s="11">
        <v>4.4999999999999998E-2</v>
      </c>
    </row>
    <row r="70" spans="3:8">
      <c r="C70" s="9">
        <v>45946.769618055601</v>
      </c>
      <c r="D70" s="10">
        <v>65</v>
      </c>
      <c r="E70" s="11">
        <v>220.5</v>
      </c>
      <c r="F70" s="11">
        <v>114.2</v>
      </c>
      <c r="G70" s="12">
        <f t="shared" ref="G70:G133" si="1">(E70-F70)/F70</f>
        <v>0.93082311733800349</v>
      </c>
      <c r="H70" s="11">
        <v>4.4999999999999998E-2</v>
      </c>
    </row>
    <row r="71" spans="3:8">
      <c r="C71" s="9">
        <v>45946.770370370403</v>
      </c>
      <c r="D71" s="10">
        <v>66</v>
      </c>
      <c r="E71" s="11">
        <v>222.5</v>
      </c>
      <c r="F71" s="11">
        <v>109.6</v>
      </c>
      <c r="G71" s="12">
        <f t="shared" si="1"/>
        <v>1.0301094890510949</v>
      </c>
      <c r="H71" s="11">
        <v>4.4999999999999998E-2</v>
      </c>
    </row>
    <row r="72" spans="3:8">
      <c r="C72" s="9">
        <v>45946.771122685197</v>
      </c>
      <c r="D72" s="10">
        <v>67</v>
      </c>
      <c r="E72" s="11">
        <v>224.5</v>
      </c>
      <c r="F72" s="11">
        <v>112.3</v>
      </c>
      <c r="G72" s="12">
        <f t="shared" si="1"/>
        <v>0.99910952804986652</v>
      </c>
      <c r="H72" s="11">
        <v>4.4999999999999998E-2</v>
      </c>
    </row>
    <row r="73" spans="3:8">
      <c r="C73" s="9">
        <v>45946.771874999999</v>
      </c>
      <c r="D73" s="10">
        <v>68</v>
      </c>
      <c r="E73" s="11">
        <v>226.4</v>
      </c>
      <c r="F73" s="11">
        <v>109.4</v>
      </c>
      <c r="G73" s="12">
        <f t="shared" si="1"/>
        <v>1.0694698354661791</v>
      </c>
      <c r="H73" s="11">
        <v>4.4999999999999998E-2</v>
      </c>
    </row>
    <row r="74" spans="3:8">
      <c r="C74" s="9">
        <v>45946.772627256942</v>
      </c>
      <c r="D74" s="10">
        <v>69</v>
      </c>
      <c r="E74" s="1">
        <v>228.4</v>
      </c>
      <c r="F74" s="1">
        <v>114.7</v>
      </c>
      <c r="G74" s="12">
        <f t="shared" si="1"/>
        <v>0.99128160418483002</v>
      </c>
      <c r="H74" s="1">
        <v>4.4999999999999998E-2</v>
      </c>
    </row>
    <row r="75" spans="3:8">
      <c r="C75" s="9">
        <v>45946.773379571758</v>
      </c>
      <c r="D75" s="10">
        <v>70</v>
      </c>
      <c r="E75" s="1">
        <v>230.6</v>
      </c>
      <c r="F75" s="1">
        <v>114.6</v>
      </c>
      <c r="G75" s="12">
        <f t="shared" si="1"/>
        <v>1.0122164048865621</v>
      </c>
      <c r="H75" s="1">
        <v>4.4999999999999998E-2</v>
      </c>
    </row>
    <row r="76" spans="3:8">
      <c r="C76" s="9">
        <v>45946.774131886574</v>
      </c>
      <c r="D76" s="10">
        <v>71</v>
      </c>
      <c r="E76" s="1">
        <v>232.6</v>
      </c>
      <c r="F76" s="1">
        <v>117.5</v>
      </c>
      <c r="G76" s="12">
        <f t="shared" si="1"/>
        <v>0.97957446808510629</v>
      </c>
      <c r="H76" s="1">
        <v>4.4999999999999998E-2</v>
      </c>
    </row>
    <row r="77" spans="3:8">
      <c r="C77" s="9">
        <v>45946.77488420139</v>
      </c>
      <c r="D77" s="10">
        <v>72</v>
      </c>
      <c r="E77" s="1">
        <v>234.5</v>
      </c>
      <c r="F77" s="1">
        <v>117.8</v>
      </c>
      <c r="G77" s="12">
        <f t="shared" si="1"/>
        <v>0.99066213921901536</v>
      </c>
      <c r="H77" s="1">
        <v>4.4999999999999998E-2</v>
      </c>
    </row>
    <row r="78" spans="3:8">
      <c r="C78" s="9">
        <v>45946.775636516206</v>
      </c>
      <c r="D78" s="10">
        <v>73</v>
      </c>
      <c r="E78" s="1">
        <v>236.5</v>
      </c>
      <c r="F78" s="1">
        <v>117.9</v>
      </c>
      <c r="G78" s="12">
        <f t="shared" si="1"/>
        <v>1.0059372349448685</v>
      </c>
      <c r="H78" s="1">
        <v>4.4999999999999998E-2</v>
      </c>
    </row>
    <row r="79" spans="3:8">
      <c r="C79" s="9">
        <v>45946.776388831022</v>
      </c>
      <c r="D79" s="10">
        <v>74</v>
      </c>
      <c r="E79" s="1">
        <v>238.5</v>
      </c>
      <c r="F79" s="1">
        <v>108.4</v>
      </c>
      <c r="G79" s="12">
        <f t="shared" si="1"/>
        <v>1.2001845018450183</v>
      </c>
      <c r="H79" s="1">
        <v>4.4999999999999998E-2</v>
      </c>
    </row>
    <row r="80" spans="3:8">
      <c r="C80" s="9">
        <v>45946.777141145831</v>
      </c>
      <c r="D80" s="10">
        <v>75</v>
      </c>
      <c r="E80" s="1">
        <v>240.5</v>
      </c>
      <c r="F80" s="1">
        <v>117.2</v>
      </c>
      <c r="G80" s="12">
        <f t="shared" si="1"/>
        <v>1.0520477815699658</v>
      </c>
      <c r="H80" s="1">
        <v>4.4999999999999998E-2</v>
      </c>
    </row>
    <row r="81" spans="3:8">
      <c r="C81" s="9">
        <v>45946.777893460647</v>
      </c>
      <c r="D81" s="10">
        <v>76</v>
      </c>
      <c r="E81" s="1">
        <v>242.5</v>
      </c>
      <c r="F81" s="1">
        <v>112.8</v>
      </c>
      <c r="G81" s="12">
        <f t="shared" si="1"/>
        <v>1.1498226950354609</v>
      </c>
      <c r="H81" s="1">
        <v>4.4999999999999998E-2</v>
      </c>
    </row>
    <row r="82" spans="3:8">
      <c r="C82" s="9">
        <v>45946.778645775463</v>
      </c>
      <c r="D82" s="10">
        <v>77</v>
      </c>
      <c r="E82" s="1">
        <v>125.6</v>
      </c>
      <c r="F82" s="1">
        <v>109.9</v>
      </c>
      <c r="G82" s="12">
        <f t="shared" si="1"/>
        <v>0.14285714285714274</v>
      </c>
      <c r="H82" s="1">
        <v>4.4999999999999998E-2</v>
      </c>
    </row>
    <row r="83" spans="3:8">
      <c r="C83" s="9">
        <v>45946.779398090279</v>
      </c>
      <c r="D83" s="10">
        <v>78</v>
      </c>
      <c r="E83" s="1">
        <v>248.6</v>
      </c>
      <c r="F83" s="1">
        <v>110.4</v>
      </c>
      <c r="G83" s="12">
        <f t="shared" si="1"/>
        <v>1.2518115942028984</v>
      </c>
      <c r="H83" s="1">
        <v>4.4999999999999998E-2</v>
      </c>
    </row>
    <row r="84" spans="3:8">
      <c r="C84" s="9">
        <v>45946.780150405095</v>
      </c>
      <c r="D84" s="10">
        <v>79</v>
      </c>
      <c r="E84" s="1">
        <v>250.6</v>
      </c>
      <c r="F84" s="1">
        <v>111.6</v>
      </c>
      <c r="G84" s="12">
        <f t="shared" si="1"/>
        <v>1.2455197132616489</v>
      </c>
      <c r="H84" s="1">
        <v>4.4999999999999998E-2</v>
      </c>
    </row>
    <row r="85" spans="3:8">
      <c r="C85" s="9">
        <v>45946.780902719911</v>
      </c>
      <c r="D85" s="10">
        <v>80</v>
      </c>
      <c r="E85" s="1">
        <v>252.5</v>
      </c>
      <c r="F85" s="1">
        <v>113.5</v>
      </c>
      <c r="G85" s="12">
        <f t="shared" si="1"/>
        <v>1.224669603524229</v>
      </c>
      <c r="H85" s="1">
        <v>4.4999999999999998E-2</v>
      </c>
    </row>
    <row r="86" spans="3:8">
      <c r="C86" s="9">
        <v>45946.78165503472</v>
      </c>
      <c r="D86" s="10">
        <v>81</v>
      </c>
      <c r="E86" s="1">
        <v>254.5</v>
      </c>
      <c r="F86" s="1">
        <v>116.6</v>
      </c>
      <c r="G86" s="12">
        <f t="shared" si="1"/>
        <v>1.1826758147512866</v>
      </c>
      <c r="H86" s="1">
        <v>4.4999999999999998E-2</v>
      </c>
    </row>
    <row r="87" spans="3:8">
      <c r="C87" s="9">
        <v>45946.782407349536</v>
      </c>
      <c r="D87" s="10">
        <v>82</v>
      </c>
      <c r="E87" s="1">
        <v>256.5</v>
      </c>
      <c r="F87" s="1">
        <v>106.9</v>
      </c>
      <c r="G87" s="12">
        <f t="shared" si="1"/>
        <v>1.3994387277829745</v>
      </c>
      <c r="H87" s="1">
        <v>4.4999999999999998E-2</v>
      </c>
    </row>
    <row r="88" spans="3:8">
      <c r="C88" s="9">
        <v>45946.783159664352</v>
      </c>
      <c r="D88" s="10">
        <v>83</v>
      </c>
      <c r="E88" s="1">
        <v>258.5</v>
      </c>
      <c r="F88" s="1">
        <v>113.7</v>
      </c>
      <c r="G88" s="12">
        <f t="shared" si="1"/>
        <v>1.2735268249780123</v>
      </c>
      <c r="H88" s="1">
        <v>4.4999999999999998E-2</v>
      </c>
    </row>
    <row r="89" spans="3:8">
      <c r="C89" s="9">
        <v>45946.783911979168</v>
      </c>
      <c r="D89" s="10">
        <v>84</v>
      </c>
      <c r="E89" s="1">
        <v>260.5</v>
      </c>
      <c r="F89" s="1">
        <v>112.6</v>
      </c>
      <c r="G89" s="12">
        <f t="shared" si="1"/>
        <v>1.313499111900533</v>
      </c>
      <c r="H89" s="1">
        <v>4.4999999999999998E-2</v>
      </c>
    </row>
    <row r="90" spans="3:8">
      <c r="C90" s="9">
        <v>45946.784664293984</v>
      </c>
      <c r="D90" s="10">
        <v>85</v>
      </c>
      <c r="E90" s="1">
        <v>262.39999999999998</v>
      </c>
      <c r="F90" s="1">
        <v>110.4</v>
      </c>
      <c r="G90" s="12">
        <f t="shared" si="1"/>
        <v>1.3768115942028982</v>
      </c>
      <c r="H90" s="1">
        <v>4.4999999999999998E-2</v>
      </c>
    </row>
    <row r="91" spans="3:8">
      <c r="C91" s="9">
        <v>45946.785416608793</v>
      </c>
      <c r="D91" s="10">
        <v>86</v>
      </c>
      <c r="E91" s="1">
        <v>264.39999999999998</v>
      </c>
      <c r="F91" s="1">
        <v>111</v>
      </c>
      <c r="G91" s="12">
        <f t="shared" si="1"/>
        <v>1.3819819819819819</v>
      </c>
      <c r="H91" s="1">
        <v>4.4999999999999998E-2</v>
      </c>
    </row>
    <row r="92" spans="3:8">
      <c r="C92" s="9">
        <v>45946.786168923609</v>
      </c>
      <c r="D92" s="10">
        <v>87</v>
      </c>
      <c r="E92" s="1">
        <v>122.8</v>
      </c>
      <c r="F92" s="1">
        <v>111.5</v>
      </c>
      <c r="G92" s="12">
        <f t="shared" si="1"/>
        <v>0.1013452914798206</v>
      </c>
      <c r="H92" s="1">
        <v>4.4999999999999998E-2</v>
      </c>
    </row>
    <row r="93" spans="3:8">
      <c r="C93" s="9">
        <v>45946.786921238425</v>
      </c>
      <c r="D93" s="10">
        <v>88</v>
      </c>
      <c r="E93" s="1">
        <v>268.60000000000002</v>
      </c>
      <c r="F93" s="1">
        <v>107.3</v>
      </c>
      <c r="G93" s="12">
        <f t="shared" si="1"/>
        <v>1.5032618825722275</v>
      </c>
      <c r="H93" s="1">
        <v>4.4999999999999998E-2</v>
      </c>
    </row>
    <row r="94" spans="3:8">
      <c r="C94" s="9">
        <v>45946.787673553241</v>
      </c>
      <c r="D94" s="10">
        <v>89</v>
      </c>
      <c r="E94" s="1">
        <v>270.5</v>
      </c>
      <c r="F94" s="1">
        <v>114.5</v>
      </c>
      <c r="G94" s="12">
        <f t="shared" si="1"/>
        <v>1.3624454148471616</v>
      </c>
      <c r="H94" s="1">
        <v>4.4999999999999998E-2</v>
      </c>
    </row>
    <row r="95" spans="3:8">
      <c r="C95" s="9">
        <v>45946.788425868057</v>
      </c>
      <c r="D95" s="10">
        <v>90</v>
      </c>
      <c r="E95" s="1">
        <v>272.5</v>
      </c>
      <c r="F95" s="1">
        <v>110.7</v>
      </c>
      <c r="G95" s="12">
        <f t="shared" si="1"/>
        <v>1.4616079494128276</v>
      </c>
      <c r="H95" s="1">
        <v>4.4999999999999998E-2</v>
      </c>
    </row>
    <row r="96" spans="3:8">
      <c r="C96" s="9">
        <v>45946.789178182873</v>
      </c>
      <c r="D96" s="10">
        <v>91</v>
      </c>
      <c r="E96" s="1">
        <v>274.5</v>
      </c>
      <c r="F96" s="1">
        <v>105.7</v>
      </c>
      <c r="G96" s="12">
        <f t="shared" si="1"/>
        <v>1.5969725638599812</v>
      </c>
      <c r="H96" s="1">
        <v>4.4999999999999998E-2</v>
      </c>
    </row>
    <row r="97" spans="3:8">
      <c r="C97" s="9">
        <v>45946.789930497682</v>
      </c>
      <c r="D97" s="10">
        <v>92</v>
      </c>
      <c r="E97" s="1">
        <v>276.5</v>
      </c>
      <c r="F97" s="1">
        <v>104.8</v>
      </c>
      <c r="G97" s="12">
        <f t="shared" si="1"/>
        <v>1.6383587786259541</v>
      </c>
      <c r="H97" s="1">
        <v>4.4999999999999998E-2</v>
      </c>
    </row>
    <row r="98" spans="3:8">
      <c r="C98" s="9">
        <v>45946.790682812498</v>
      </c>
      <c r="D98" s="10">
        <v>93</v>
      </c>
      <c r="E98" s="1">
        <v>278.5</v>
      </c>
      <c r="F98" s="1">
        <v>106.2</v>
      </c>
      <c r="G98" s="12">
        <f t="shared" si="1"/>
        <v>1.6224105461393599</v>
      </c>
      <c r="H98" s="1">
        <v>4.4999999999999998E-2</v>
      </c>
    </row>
    <row r="99" spans="3:8">
      <c r="C99" s="9">
        <v>45946.791435127314</v>
      </c>
      <c r="D99" s="10">
        <v>94</v>
      </c>
      <c r="E99" s="1">
        <v>280.39999999999998</v>
      </c>
      <c r="F99" s="1">
        <v>103</v>
      </c>
      <c r="G99" s="12">
        <f t="shared" si="1"/>
        <v>1.7223300970873785</v>
      </c>
      <c r="H99" s="1">
        <v>4.4999999999999998E-2</v>
      </c>
    </row>
    <row r="100" spans="3:8">
      <c r="C100" s="9">
        <v>45946.79218744213</v>
      </c>
      <c r="D100" s="10">
        <v>95</v>
      </c>
      <c r="E100" s="1">
        <v>282.39999999999998</v>
      </c>
      <c r="F100" s="1">
        <v>106.1</v>
      </c>
      <c r="G100" s="12">
        <f t="shared" si="1"/>
        <v>1.6616399622997171</v>
      </c>
      <c r="H100" s="1">
        <v>4.4999999999999998E-2</v>
      </c>
    </row>
    <row r="101" spans="3:8">
      <c r="C101" s="9">
        <v>45946.792939756946</v>
      </c>
      <c r="D101" s="10">
        <v>96</v>
      </c>
      <c r="E101" s="1">
        <v>284.60000000000002</v>
      </c>
      <c r="F101" s="1">
        <v>105.3</v>
      </c>
      <c r="G101" s="12">
        <f t="shared" si="1"/>
        <v>1.7027540360873696</v>
      </c>
      <c r="H101" s="1">
        <v>4.4999999999999998E-2</v>
      </c>
    </row>
    <row r="102" spans="3:8">
      <c r="C102" s="9">
        <v>45946.793692071762</v>
      </c>
      <c r="D102" s="10">
        <v>97</v>
      </c>
      <c r="E102" s="1">
        <v>286.60000000000002</v>
      </c>
      <c r="F102" s="1">
        <v>106.7</v>
      </c>
      <c r="G102" s="12">
        <f t="shared" si="1"/>
        <v>1.6860356138706656</v>
      </c>
      <c r="H102" s="1">
        <v>4.4999999999999998E-2</v>
      </c>
    </row>
    <row r="103" spans="3:8">
      <c r="C103" s="9">
        <v>45946.794444386571</v>
      </c>
      <c r="D103" s="10">
        <v>98</v>
      </c>
      <c r="E103" s="1">
        <v>288.5</v>
      </c>
      <c r="F103" s="1">
        <v>102.7</v>
      </c>
      <c r="G103" s="12">
        <f t="shared" si="1"/>
        <v>1.8091528724440118</v>
      </c>
      <c r="H103" s="1">
        <v>4.4999999999999998E-2</v>
      </c>
    </row>
    <row r="104" spans="3:8">
      <c r="C104" s="9">
        <v>45946.795196701387</v>
      </c>
      <c r="D104" s="10">
        <v>99</v>
      </c>
      <c r="E104" s="1">
        <v>290.5</v>
      </c>
      <c r="F104" s="1">
        <v>108.7</v>
      </c>
      <c r="G104" s="12">
        <f t="shared" si="1"/>
        <v>1.6724931002759891</v>
      </c>
      <c r="H104" s="1">
        <v>4.4999999999999998E-2</v>
      </c>
    </row>
    <row r="105" spans="3:8">
      <c r="C105" s="9">
        <v>45946.795949016203</v>
      </c>
      <c r="D105" s="10">
        <v>100</v>
      </c>
      <c r="E105" s="1">
        <v>292.5</v>
      </c>
      <c r="F105" s="1">
        <v>104.7</v>
      </c>
      <c r="G105" s="12">
        <f t="shared" si="1"/>
        <v>1.7936962750716332</v>
      </c>
      <c r="H105" s="1">
        <v>4.4999999999999998E-2</v>
      </c>
    </row>
    <row r="106" spans="3:8">
      <c r="C106" s="9">
        <v>45946.796701331019</v>
      </c>
      <c r="D106" s="10">
        <v>101</v>
      </c>
      <c r="E106" s="1">
        <v>294.5</v>
      </c>
      <c r="F106" s="1">
        <v>106.9</v>
      </c>
      <c r="G106" s="12">
        <f t="shared" si="1"/>
        <v>1.7549111318989707</v>
      </c>
      <c r="H106" s="1">
        <v>4.4999999999999998E-2</v>
      </c>
    </row>
    <row r="107" spans="3:8">
      <c r="C107" s="9">
        <v>45946.797453645835</v>
      </c>
      <c r="D107" s="10">
        <v>102</v>
      </c>
      <c r="E107" s="1">
        <v>296.5</v>
      </c>
      <c r="F107" s="1">
        <v>102</v>
      </c>
      <c r="G107" s="12">
        <f t="shared" si="1"/>
        <v>1.9068627450980393</v>
      </c>
      <c r="H107" s="1">
        <v>4.4999999999999998E-2</v>
      </c>
    </row>
    <row r="108" spans="3:8">
      <c r="C108" s="9">
        <v>45946.798205960651</v>
      </c>
      <c r="D108" s="10">
        <v>103</v>
      </c>
      <c r="E108" s="1">
        <v>298.39999999999998</v>
      </c>
      <c r="F108" s="1">
        <v>108.5</v>
      </c>
      <c r="G108" s="12">
        <f t="shared" si="1"/>
        <v>1.7502304147465435</v>
      </c>
      <c r="H108" s="1">
        <v>4.4999999999999998E-2</v>
      </c>
    </row>
    <row r="109" spans="3:8">
      <c r="C109" s="9">
        <v>45946.79895827546</v>
      </c>
      <c r="D109" s="10">
        <v>104</v>
      </c>
      <c r="E109" s="1">
        <v>300.10000000000002</v>
      </c>
      <c r="F109" s="1">
        <v>107.9</v>
      </c>
      <c r="G109" s="12">
        <f t="shared" si="1"/>
        <v>1.7812789620018536</v>
      </c>
      <c r="H109" s="1">
        <v>4.4999999999999998E-2</v>
      </c>
    </row>
    <row r="110" spans="3:8">
      <c r="C110" s="9">
        <v>45946.799710590276</v>
      </c>
      <c r="D110" s="10">
        <v>105</v>
      </c>
      <c r="E110" s="1">
        <v>300.10000000000002</v>
      </c>
      <c r="F110" s="1">
        <v>99.3</v>
      </c>
      <c r="G110" s="12">
        <f t="shared" si="1"/>
        <v>2.0221550855991945</v>
      </c>
      <c r="H110" s="1">
        <v>4.4999999999999998E-2</v>
      </c>
    </row>
    <row r="111" spans="3:8">
      <c r="C111" s="9">
        <v>45946.800462905092</v>
      </c>
      <c r="D111" s="10">
        <v>106</v>
      </c>
      <c r="E111" s="1">
        <v>300.10000000000002</v>
      </c>
      <c r="F111" s="1">
        <v>105.1</v>
      </c>
      <c r="G111" s="12">
        <f t="shared" si="1"/>
        <v>1.8553758325404381</v>
      </c>
      <c r="H111" s="1">
        <v>4.4999999999999998E-2</v>
      </c>
    </row>
    <row r="112" spans="3:8">
      <c r="C112" s="9">
        <v>45946.801215219908</v>
      </c>
      <c r="D112" s="10">
        <v>107</v>
      </c>
      <c r="E112" s="1">
        <v>298.10000000000002</v>
      </c>
      <c r="F112" s="1">
        <v>99.9</v>
      </c>
      <c r="G112" s="12">
        <f t="shared" si="1"/>
        <v>1.9839839839839841</v>
      </c>
      <c r="H112" s="1">
        <v>4.4999999999999998E-2</v>
      </c>
    </row>
    <row r="113" spans="3:8">
      <c r="C113" s="9">
        <v>45946.801967534724</v>
      </c>
      <c r="D113" s="10">
        <v>108</v>
      </c>
      <c r="E113" s="1">
        <v>295.89999999999998</v>
      </c>
      <c r="F113" s="1">
        <v>100</v>
      </c>
      <c r="G113" s="12">
        <f t="shared" si="1"/>
        <v>1.9589999999999999</v>
      </c>
      <c r="H113" s="1">
        <v>4.4999999999999998E-2</v>
      </c>
    </row>
    <row r="114" spans="3:8">
      <c r="C114" s="9">
        <v>45946.80271984954</v>
      </c>
      <c r="D114" s="10">
        <v>109</v>
      </c>
      <c r="E114" s="1">
        <v>295.89999999999998</v>
      </c>
      <c r="F114" s="1">
        <v>103.7</v>
      </c>
      <c r="G114" s="12">
        <f t="shared" si="1"/>
        <v>1.8534233365477337</v>
      </c>
      <c r="H114" s="1">
        <v>4.4999999999999998E-2</v>
      </c>
    </row>
    <row r="115" spans="3:8">
      <c r="C115" s="9">
        <v>45946.803472164349</v>
      </c>
      <c r="D115" s="10">
        <v>110</v>
      </c>
      <c r="E115" s="1">
        <v>295.89999999999998</v>
      </c>
      <c r="F115" s="1">
        <v>96.5</v>
      </c>
      <c r="G115" s="12">
        <f t="shared" si="1"/>
        <v>2.066321243523316</v>
      </c>
      <c r="H115" s="1">
        <v>4.4999999999999998E-2</v>
      </c>
    </row>
    <row r="116" spans="3:8">
      <c r="C116" s="9">
        <v>45946.804224479165</v>
      </c>
      <c r="D116" s="10">
        <v>111</v>
      </c>
      <c r="E116" s="1">
        <v>295.89999999999998</v>
      </c>
      <c r="F116" s="1">
        <v>100.9</v>
      </c>
      <c r="G116" s="12">
        <f t="shared" si="1"/>
        <v>1.9326065411298312</v>
      </c>
      <c r="H116" s="1">
        <v>4.4999999999999998E-2</v>
      </c>
    </row>
    <row r="117" spans="3:8">
      <c r="C117" s="9">
        <v>45946.804976793981</v>
      </c>
      <c r="D117" s="10">
        <v>112</v>
      </c>
      <c r="E117" s="1">
        <v>295.89999999999998</v>
      </c>
      <c r="F117" s="1">
        <v>98.5</v>
      </c>
      <c r="G117" s="12">
        <f t="shared" si="1"/>
        <v>2.0040609137055836</v>
      </c>
      <c r="H117" s="1">
        <v>4.4999999999999998E-2</v>
      </c>
    </row>
    <row r="118" spans="3:8">
      <c r="C118" s="9">
        <v>45946.805729108797</v>
      </c>
      <c r="D118" s="10">
        <v>113</v>
      </c>
      <c r="E118" s="1">
        <v>295.89999999999998</v>
      </c>
      <c r="F118" s="1">
        <v>95.3</v>
      </c>
      <c r="G118" s="12">
        <f t="shared" si="1"/>
        <v>2.1049317943336829</v>
      </c>
      <c r="H118" s="1">
        <v>4.4999999999999998E-2</v>
      </c>
    </row>
    <row r="119" spans="3:8">
      <c r="C119" s="9">
        <v>45946.806481423613</v>
      </c>
      <c r="D119" s="10">
        <v>114</v>
      </c>
      <c r="E119" s="1">
        <v>295.89999999999998</v>
      </c>
      <c r="F119" s="1">
        <v>97.9</v>
      </c>
      <c r="G119" s="12">
        <f t="shared" si="1"/>
        <v>2.0224719101123592</v>
      </c>
      <c r="H119" s="1">
        <v>4.4999999999999998E-2</v>
      </c>
    </row>
    <row r="120" spans="3:8">
      <c r="C120" s="9">
        <v>45946.807233738429</v>
      </c>
      <c r="D120" s="10">
        <v>115</v>
      </c>
      <c r="E120" s="1">
        <v>295.89999999999998</v>
      </c>
      <c r="F120" s="1">
        <v>101.4</v>
      </c>
      <c r="G120" s="12">
        <f t="shared" si="1"/>
        <v>1.9181459566074948</v>
      </c>
      <c r="H120" s="1">
        <v>4.4999999999999998E-2</v>
      </c>
    </row>
    <row r="121" spans="3:8">
      <c r="C121" s="9">
        <v>45946.807986053238</v>
      </c>
      <c r="D121" s="10">
        <v>116</v>
      </c>
      <c r="E121" s="1">
        <v>295.89999999999998</v>
      </c>
      <c r="F121" s="1">
        <v>95.1</v>
      </c>
      <c r="G121" s="12">
        <f t="shared" si="1"/>
        <v>2.1114616193480544</v>
      </c>
      <c r="H121" s="1">
        <v>4.4999999999999998E-2</v>
      </c>
    </row>
    <row r="122" spans="3:8">
      <c r="C122" s="9">
        <v>45946.808738368054</v>
      </c>
      <c r="D122" s="10">
        <v>117</v>
      </c>
      <c r="E122" s="1">
        <v>295.89999999999998</v>
      </c>
      <c r="F122" s="1">
        <v>92.6</v>
      </c>
      <c r="G122" s="12">
        <f t="shared" si="1"/>
        <v>2.1954643628509718</v>
      </c>
      <c r="H122" s="1">
        <v>4.4999999999999998E-2</v>
      </c>
    </row>
    <row r="123" spans="3:8">
      <c r="C123" s="9">
        <v>45946.80949068287</v>
      </c>
      <c r="D123" s="10">
        <v>118</v>
      </c>
      <c r="E123" s="1">
        <v>295.89999999999998</v>
      </c>
      <c r="F123" s="1">
        <v>98.5</v>
      </c>
      <c r="G123" s="12">
        <f t="shared" si="1"/>
        <v>2.0040609137055836</v>
      </c>
      <c r="H123" s="1">
        <v>4.4999999999999998E-2</v>
      </c>
    </row>
    <row r="124" spans="3:8">
      <c r="C124" s="9">
        <v>45946.810242997686</v>
      </c>
      <c r="D124" s="10">
        <v>119</v>
      </c>
      <c r="E124" s="1">
        <v>295.89999999999998</v>
      </c>
      <c r="F124" s="1">
        <v>99.1</v>
      </c>
      <c r="G124" s="12">
        <f t="shared" si="1"/>
        <v>1.9858728557013117</v>
      </c>
      <c r="H124" s="1">
        <v>4.4999999999999998E-2</v>
      </c>
    </row>
    <row r="125" spans="3:8">
      <c r="C125" s="9">
        <v>45946.810995312502</v>
      </c>
      <c r="D125" s="10">
        <v>120</v>
      </c>
      <c r="E125" s="1">
        <v>295.89999999999998</v>
      </c>
      <c r="F125" s="1">
        <v>98.5</v>
      </c>
      <c r="G125" s="12">
        <f t="shared" si="1"/>
        <v>2.0040609137055836</v>
      </c>
      <c r="H125" s="1">
        <v>4.4999999999999998E-2</v>
      </c>
    </row>
    <row r="126" spans="3:8">
      <c r="C126" s="9">
        <v>45946.811747627318</v>
      </c>
      <c r="D126" s="10">
        <v>121</v>
      </c>
      <c r="E126" s="1">
        <v>295.89999999999998</v>
      </c>
      <c r="F126" s="1">
        <v>90.9</v>
      </c>
      <c r="G126" s="12">
        <f t="shared" si="1"/>
        <v>2.2552255225522546</v>
      </c>
      <c r="H126" s="1">
        <v>4.4999999999999998E-2</v>
      </c>
    </row>
    <row r="127" spans="3:8">
      <c r="C127" s="9">
        <v>45946.812499942127</v>
      </c>
      <c r="D127" s="10">
        <v>122</v>
      </c>
      <c r="E127" s="1">
        <v>295.89999999999998</v>
      </c>
      <c r="F127" s="1">
        <v>94.7</v>
      </c>
      <c r="G127" s="12">
        <f t="shared" si="1"/>
        <v>2.1246040126715942</v>
      </c>
      <c r="H127" s="1">
        <v>4.4999999999999998E-2</v>
      </c>
    </row>
    <row r="128" spans="3:8">
      <c r="C128" s="9">
        <v>45946.813252256943</v>
      </c>
      <c r="D128" s="10">
        <v>123</v>
      </c>
      <c r="E128" s="1">
        <v>295.89999999999998</v>
      </c>
      <c r="F128" s="1">
        <v>96.4</v>
      </c>
      <c r="G128" s="12">
        <f t="shared" si="1"/>
        <v>2.0695020746887964</v>
      </c>
      <c r="H128" s="1">
        <v>4.4999999999999998E-2</v>
      </c>
    </row>
    <row r="129" spans="3:8">
      <c r="C129" s="9">
        <v>45946.814004571759</v>
      </c>
      <c r="D129" s="10">
        <v>124</v>
      </c>
      <c r="E129" s="1">
        <v>295.89999999999998</v>
      </c>
      <c r="F129" s="1">
        <v>95.6</v>
      </c>
      <c r="G129" s="12">
        <f t="shared" si="1"/>
        <v>2.0951882845188283</v>
      </c>
      <c r="H129" s="1">
        <v>4.4999999999999998E-2</v>
      </c>
    </row>
    <row r="130" spans="3:8">
      <c r="C130" s="9">
        <v>45946.814756886575</v>
      </c>
      <c r="D130" s="10">
        <v>125</v>
      </c>
      <c r="E130" s="1">
        <v>295.89999999999998</v>
      </c>
      <c r="F130" s="1">
        <v>88.6</v>
      </c>
      <c r="G130" s="12">
        <f t="shared" si="1"/>
        <v>2.3397291196388261</v>
      </c>
      <c r="H130" s="1">
        <v>4.4999999999999998E-2</v>
      </c>
    </row>
    <row r="131" spans="3:8">
      <c r="C131" s="9">
        <v>45946.815509201391</v>
      </c>
      <c r="D131" s="10">
        <v>126</v>
      </c>
      <c r="E131" s="1">
        <v>295.89999999999998</v>
      </c>
      <c r="F131" s="1">
        <v>92.6</v>
      </c>
      <c r="G131" s="12">
        <f t="shared" si="1"/>
        <v>2.1954643628509718</v>
      </c>
      <c r="H131" s="1">
        <v>4.4999999999999998E-2</v>
      </c>
    </row>
    <row r="132" spans="3:8">
      <c r="C132" s="9">
        <v>45946.816261516207</v>
      </c>
      <c r="D132" s="10">
        <v>127</v>
      </c>
      <c r="E132" s="1">
        <v>295.89999999999998</v>
      </c>
      <c r="F132" s="1">
        <v>91.1</v>
      </c>
      <c r="G132" s="12">
        <f t="shared" si="1"/>
        <v>2.2480790340285401</v>
      </c>
      <c r="H132" s="1">
        <v>4.4999999999999998E-2</v>
      </c>
    </row>
    <row r="133" spans="3:8">
      <c r="C133" s="9">
        <v>45946.817013831016</v>
      </c>
      <c r="D133" s="10">
        <v>128</v>
      </c>
      <c r="E133" s="1">
        <v>295.89999999999998</v>
      </c>
      <c r="F133" s="1">
        <v>84.8</v>
      </c>
      <c r="G133" s="12">
        <f t="shared" si="1"/>
        <v>2.4893867924528297</v>
      </c>
      <c r="H133" s="1">
        <v>4.4999999999999998E-2</v>
      </c>
    </row>
    <row r="134" spans="3:8">
      <c r="C134" s="9">
        <v>45946.817766145832</v>
      </c>
      <c r="D134" s="10">
        <v>129</v>
      </c>
      <c r="E134" s="1">
        <v>295.89999999999998</v>
      </c>
      <c r="F134" s="1">
        <v>85.8</v>
      </c>
      <c r="G134" s="12">
        <f t="shared" ref="G134:G197" si="2">(E134-F134)/F134</f>
        <v>2.4487179487179485</v>
      </c>
      <c r="H134" s="1">
        <v>4.4999999999999998E-2</v>
      </c>
    </row>
    <row r="135" spans="3:8">
      <c r="C135" s="9">
        <v>45946.818518460648</v>
      </c>
      <c r="D135" s="10">
        <v>130</v>
      </c>
      <c r="E135" s="1">
        <v>295.89999999999998</v>
      </c>
      <c r="F135" s="1">
        <v>85.9</v>
      </c>
      <c r="G135" s="12">
        <f t="shared" si="2"/>
        <v>2.4447031431897552</v>
      </c>
      <c r="H135" s="1">
        <v>2.0799999999999999E-2</v>
      </c>
    </row>
    <row r="136" spans="3:8">
      <c r="C136" s="9">
        <v>45946.819270775464</v>
      </c>
      <c r="D136" s="10">
        <v>131</v>
      </c>
      <c r="E136" s="1">
        <v>295.89999999999998</v>
      </c>
      <c r="F136" s="1">
        <v>83</v>
      </c>
      <c r="G136" s="12">
        <f t="shared" si="2"/>
        <v>2.565060240963855</v>
      </c>
      <c r="H136" s="1">
        <v>2.0799999999999999E-2</v>
      </c>
    </row>
    <row r="137" spans="3:8">
      <c r="C137" s="9">
        <v>45946.82002309028</v>
      </c>
      <c r="D137" s="10">
        <v>132</v>
      </c>
      <c r="E137" s="1">
        <v>295.89999999999998</v>
      </c>
      <c r="F137" s="1">
        <v>84.8</v>
      </c>
      <c r="G137" s="12">
        <f t="shared" si="2"/>
        <v>2.4893867924528297</v>
      </c>
      <c r="H137" s="1">
        <v>2.0799999999999999E-2</v>
      </c>
    </row>
    <row r="138" spans="3:8">
      <c r="C138" s="9">
        <v>45946.820775405089</v>
      </c>
      <c r="D138" s="10">
        <v>133</v>
      </c>
      <c r="E138" s="1">
        <v>295.89999999999998</v>
      </c>
      <c r="F138" s="1">
        <v>88.1</v>
      </c>
      <c r="G138" s="12">
        <f t="shared" si="2"/>
        <v>2.3586833144154369</v>
      </c>
      <c r="H138" s="1">
        <v>2.0799999999999999E-2</v>
      </c>
    </row>
    <row r="139" spans="3:8">
      <c r="C139" s="9">
        <v>45946.821527719905</v>
      </c>
      <c r="D139" s="10">
        <v>134</v>
      </c>
      <c r="E139" s="1">
        <v>295.89999999999998</v>
      </c>
      <c r="F139" s="1">
        <v>81.900000000000006</v>
      </c>
      <c r="G139" s="12">
        <f t="shared" si="2"/>
        <v>2.6129426129426125</v>
      </c>
      <c r="H139" s="1">
        <v>2.0799999999999999E-2</v>
      </c>
    </row>
    <row r="140" spans="3:8">
      <c r="C140" s="9">
        <v>45946.822280034721</v>
      </c>
      <c r="D140" s="10">
        <v>135</v>
      </c>
      <c r="E140" s="1">
        <v>295.89999999999998</v>
      </c>
      <c r="F140" s="1">
        <v>82.8</v>
      </c>
      <c r="G140" s="12">
        <f t="shared" si="2"/>
        <v>2.5736714975845407</v>
      </c>
      <c r="H140" s="1">
        <v>2.0799999999999999E-2</v>
      </c>
    </row>
    <row r="141" spans="3:8">
      <c r="C141" s="9">
        <v>45946.823032349537</v>
      </c>
      <c r="D141" s="10">
        <v>136</v>
      </c>
      <c r="E141" s="1">
        <v>295.89999999999998</v>
      </c>
      <c r="F141" s="1">
        <v>84</v>
      </c>
      <c r="G141" s="12">
        <f t="shared" si="2"/>
        <v>2.5226190476190475</v>
      </c>
      <c r="H141" s="1">
        <v>2.0799999999999999E-2</v>
      </c>
    </row>
    <row r="142" spans="3:8">
      <c r="C142" s="9">
        <v>45946.823784664353</v>
      </c>
      <c r="D142" s="10">
        <v>137</v>
      </c>
      <c r="E142" s="1">
        <v>295.89999999999998</v>
      </c>
      <c r="F142" s="1">
        <v>77.400000000000006</v>
      </c>
      <c r="G142" s="12">
        <f t="shared" si="2"/>
        <v>2.8229974160206712</v>
      </c>
      <c r="H142" s="1">
        <v>2.0799999999999999E-2</v>
      </c>
    </row>
    <row r="143" spans="3:8">
      <c r="C143" s="9">
        <v>45946.824536979169</v>
      </c>
      <c r="D143" s="10">
        <v>138</v>
      </c>
      <c r="E143" s="1">
        <v>295.89999999999998</v>
      </c>
      <c r="F143" s="1">
        <v>83.6</v>
      </c>
      <c r="G143" s="12">
        <f t="shared" si="2"/>
        <v>2.5394736842105261</v>
      </c>
      <c r="H143" s="1">
        <v>2.0799999999999999E-2</v>
      </c>
    </row>
    <row r="144" spans="3:8">
      <c r="C144" s="9">
        <v>45946.825289293978</v>
      </c>
      <c r="D144" s="10">
        <v>139</v>
      </c>
      <c r="E144" s="1">
        <v>295.89999999999998</v>
      </c>
      <c r="F144" s="1">
        <v>75.400000000000006</v>
      </c>
      <c r="G144" s="12">
        <f t="shared" si="2"/>
        <v>2.9244031830238719</v>
      </c>
      <c r="H144" s="1">
        <v>2.0799999999999999E-2</v>
      </c>
    </row>
    <row r="145" spans="3:8">
      <c r="C145" s="9">
        <v>45946.826041608794</v>
      </c>
      <c r="D145" s="10">
        <v>140</v>
      </c>
      <c r="E145" s="1">
        <v>295.89999999999998</v>
      </c>
      <c r="F145" s="1">
        <v>76.3</v>
      </c>
      <c r="G145" s="12">
        <f t="shared" si="2"/>
        <v>2.8781127129750979</v>
      </c>
      <c r="H145" s="1">
        <v>2.0799999999999999E-2</v>
      </c>
    </row>
    <row r="146" spans="3:8">
      <c r="C146" s="9">
        <v>45946.82679392361</v>
      </c>
      <c r="D146" s="10">
        <v>141</v>
      </c>
      <c r="E146" s="1">
        <v>295.89999999999998</v>
      </c>
      <c r="F146" s="1">
        <v>73</v>
      </c>
      <c r="G146" s="12">
        <f t="shared" si="2"/>
        <v>3.0534246575342463</v>
      </c>
      <c r="H146" s="1">
        <v>2.0799999999999999E-2</v>
      </c>
    </row>
    <row r="147" spans="3:8">
      <c r="C147" s="9">
        <v>45946.827546238426</v>
      </c>
      <c r="D147" s="10">
        <v>142</v>
      </c>
      <c r="E147" s="1">
        <v>295.89999999999998</v>
      </c>
      <c r="F147" s="1">
        <v>73.2</v>
      </c>
      <c r="G147" s="12">
        <f t="shared" si="2"/>
        <v>3.0423497267759561</v>
      </c>
      <c r="H147" s="1">
        <v>2.0799999999999999E-2</v>
      </c>
    </row>
    <row r="148" spans="3:8">
      <c r="C148" s="9">
        <v>45946.828298553242</v>
      </c>
      <c r="D148" s="10">
        <v>143</v>
      </c>
      <c r="E148" s="1">
        <v>295.89999999999998</v>
      </c>
      <c r="F148" s="1">
        <v>75.7</v>
      </c>
      <c r="G148" s="12">
        <f t="shared" si="2"/>
        <v>2.9088507265521795</v>
      </c>
      <c r="H148" s="1">
        <v>2.0799999999999999E-2</v>
      </c>
    </row>
    <row r="149" spans="3:8">
      <c r="C149" s="9">
        <v>45946.829050868058</v>
      </c>
      <c r="D149" s="10">
        <v>144</v>
      </c>
      <c r="E149" s="1">
        <v>295.89999999999998</v>
      </c>
      <c r="F149" s="1">
        <v>72.599999999999994</v>
      </c>
      <c r="G149" s="12">
        <f t="shared" si="2"/>
        <v>3.0757575757575757</v>
      </c>
      <c r="H149" s="1">
        <v>2.0799999999999999E-2</v>
      </c>
    </row>
    <row r="150" spans="3:8">
      <c r="C150" s="9">
        <v>45946.829803182867</v>
      </c>
      <c r="D150" s="10">
        <v>145</v>
      </c>
      <c r="E150" s="1">
        <v>295.89999999999998</v>
      </c>
      <c r="F150" s="1">
        <v>75.900000000000006</v>
      </c>
      <c r="G150" s="12">
        <f t="shared" si="2"/>
        <v>2.8985507246376807</v>
      </c>
      <c r="H150" s="1">
        <v>2.0799999999999999E-2</v>
      </c>
    </row>
    <row r="151" spans="3:8">
      <c r="C151" s="9">
        <v>45946.830555497683</v>
      </c>
      <c r="D151" s="10">
        <v>146</v>
      </c>
      <c r="E151" s="1">
        <v>295.89999999999998</v>
      </c>
      <c r="F151" s="1">
        <v>68.5</v>
      </c>
      <c r="G151" s="12">
        <f t="shared" si="2"/>
        <v>3.3197080291970797</v>
      </c>
      <c r="H151" s="1">
        <v>2.0799999999999999E-2</v>
      </c>
    </row>
    <row r="152" spans="3:8">
      <c r="C152" s="9">
        <v>45946.831307812499</v>
      </c>
      <c r="D152" s="10">
        <v>147</v>
      </c>
      <c r="E152" s="1">
        <v>295.89999999999998</v>
      </c>
      <c r="F152" s="1">
        <v>71.400000000000006</v>
      </c>
      <c r="G152" s="12">
        <f t="shared" si="2"/>
        <v>3.144257703081232</v>
      </c>
      <c r="H152" s="1">
        <v>2.0799999999999999E-2</v>
      </c>
    </row>
    <row r="153" spans="3:8">
      <c r="C153" s="9">
        <v>45946.832060127315</v>
      </c>
      <c r="D153" s="10">
        <v>148</v>
      </c>
      <c r="E153" s="1">
        <v>295.89999999999998</v>
      </c>
      <c r="F153" s="1">
        <v>67.8</v>
      </c>
      <c r="G153" s="12">
        <f t="shared" si="2"/>
        <v>3.3643067846607666</v>
      </c>
      <c r="H153" s="1">
        <v>2.0799999999999999E-2</v>
      </c>
    </row>
    <row r="154" spans="3:8">
      <c r="C154" s="9">
        <v>45946.832812442131</v>
      </c>
      <c r="D154" s="10">
        <v>149</v>
      </c>
      <c r="E154" s="1">
        <v>295.89999999999998</v>
      </c>
      <c r="F154" s="1">
        <v>69.2</v>
      </c>
      <c r="G154" s="12">
        <f t="shared" si="2"/>
        <v>3.2760115606936413</v>
      </c>
      <c r="H154" s="1">
        <v>2.0799999999999999E-2</v>
      </c>
    </row>
    <row r="155" spans="3:8">
      <c r="C155" s="9">
        <v>45946.833564756947</v>
      </c>
      <c r="D155" s="10">
        <v>150</v>
      </c>
      <c r="E155" s="1">
        <v>295.89999999999998</v>
      </c>
      <c r="F155" s="1">
        <v>67.599999999999994</v>
      </c>
      <c r="G155" s="12">
        <f t="shared" si="2"/>
        <v>3.3772189349112427</v>
      </c>
      <c r="H155" s="1">
        <v>2.0799999999999999E-2</v>
      </c>
    </row>
    <row r="156" spans="3:8">
      <c r="C156" s="9">
        <v>45946.834317071756</v>
      </c>
      <c r="D156" s="10">
        <v>151</v>
      </c>
      <c r="E156" s="1">
        <v>295.89999999999998</v>
      </c>
      <c r="F156" s="1">
        <v>61</v>
      </c>
      <c r="G156" s="12">
        <f t="shared" si="2"/>
        <v>3.8508196721311472</v>
      </c>
      <c r="H156" s="1">
        <v>2.0799999999999999E-2</v>
      </c>
    </row>
    <row r="157" spans="3:8">
      <c r="C157" s="9">
        <v>45946.835069386572</v>
      </c>
      <c r="D157" s="10">
        <v>152</v>
      </c>
      <c r="E157" s="1">
        <v>295.89999999999998</v>
      </c>
      <c r="F157" s="1">
        <v>63.9</v>
      </c>
      <c r="G157" s="12">
        <f t="shared" si="2"/>
        <v>3.6306729264475739</v>
      </c>
      <c r="H157" s="1">
        <v>2.0799999999999999E-2</v>
      </c>
    </row>
    <row r="158" spans="3:8">
      <c r="C158" s="9">
        <v>45946.835821701388</v>
      </c>
      <c r="D158" s="10">
        <v>153</v>
      </c>
      <c r="E158" s="1">
        <v>295.89999999999998</v>
      </c>
      <c r="F158" s="1">
        <v>63.4</v>
      </c>
      <c r="G158" s="12">
        <f t="shared" si="2"/>
        <v>3.6671924290220819</v>
      </c>
      <c r="H158" s="1">
        <v>2.0799999999999999E-2</v>
      </c>
    </row>
    <row r="159" spans="3:8">
      <c r="C159" s="9">
        <v>45946.836574016204</v>
      </c>
      <c r="D159" s="10">
        <v>154</v>
      </c>
      <c r="E159" s="1">
        <v>295.89999999999998</v>
      </c>
      <c r="F159" s="1">
        <v>63.8</v>
      </c>
      <c r="G159" s="12">
        <f t="shared" si="2"/>
        <v>3.6379310344827585</v>
      </c>
      <c r="H159" s="1">
        <v>2.0799999999999999E-2</v>
      </c>
    </row>
    <row r="160" spans="3:8">
      <c r="C160" s="9">
        <v>45946.83732633102</v>
      </c>
      <c r="D160" s="10">
        <v>155</v>
      </c>
      <c r="E160" s="1">
        <v>295.89999999999998</v>
      </c>
      <c r="F160" s="1">
        <v>60.3</v>
      </c>
      <c r="G160" s="12">
        <f t="shared" si="2"/>
        <v>3.9071310116086231</v>
      </c>
      <c r="H160" s="1">
        <v>2.0799999999999999E-2</v>
      </c>
    </row>
    <row r="161" spans="3:8">
      <c r="C161" s="9">
        <v>45946.838078645837</v>
      </c>
      <c r="D161" s="10">
        <v>156</v>
      </c>
      <c r="E161" s="1">
        <v>295.89999999999998</v>
      </c>
      <c r="F161" s="1">
        <v>55.3</v>
      </c>
      <c r="G161" s="12">
        <f t="shared" si="2"/>
        <v>4.3508137432188061</v>
      </c>
      <c r="H161" s="1">
        <v>2.0799999999999999E-2</v>
      </c>
    </row>
    <row r="162" spans="3:8">
      <c r="C162" s="9">
        <v>45946.838830960645</v>
      </c>
      <c r="D162" s="10">
        <v>157</v>
      </c>
      <c r="E162" s="1">
        <v>295.89999999999998</v>
      </c>
      <c r="F162" s="1">
        <v>54.5</v>
      </c>
      <c r="G162" s="12">
        <f t="shared" si="2"/>
        <v>4.4293577981651371</v>
      </c>
      <c r="H162" s="1">
        <v>2.0799999999999999E-2</v>
      </c>
    </row>
    <row r="163" spans="3:8">
      <c r="C163" s="9">
        <v>45946.839583275461</v>
      </c>
      <c r="D163" s="10">
        <v>158</v>
      </c>
      <c r="E163" s="1">
        <v>295.89999999999998</v>
      </c>
      <c r="F163" s="1">
        <v>59.7</v>
      </c>
      <c r="G163" s="12">
        <f t="shared" si="2"/>
        <v>3.9564489112227803</v>
      </c>
      <c r="H163" s="1">
        <v>2.0799999999999999E-2</v>
      </c>
    </row>
    <row r="164" spans="3:8">
      <c r="C164" s="9">
        <v>45946.840335590277</v>
      </c>
      <c r="D164" s="10">
        <v>159</v>
      </c>
      <c r="E164" s="1">
        <v>295.89999999999998</v>
      </c>
      <c r="F164" s="1">
        <v>50.5</v>
      </c>
      <c r="G164" s="12">
        <f t="shared" si="2"/>
        <v>4.8594059405940593</v>
      </c>
      <c r="H164" s="1">
        <v>2.0799999999999999E-2</v>
      </c>
    </row>
    <row r="165" spans="3:8">
      <c r="C165" s="9">
        <v>45946.841087905093</v>
      </c>
      <c r="D165" s="10">
        <v>160</v>
      </c>
      <c r="E165" s="1">
        <v>295.89999999999998</v>
      </c>
      <c r="F165" s="1">
        <v>54.9</v>
      </c>
      <c r="G165" s="12">
        <f t="shared" si="2"/>
        <v>4.3897996357012747</v>
      </c>
      <c r="H165" s="1">
        <v>2.0799999999999999E-2</v>
      </c>
    </row>
    <row r="166" spans="3:8">
      <c r="C166" s="9">
        <v>45946.841840219909</v>
      </c>
      <c r="D166" s="10">
        <v>161</v>
      </c>
      <c r="E166" s="1">
        <v>295.89999999999998</v>
      </c>
      <c r="F166" s="1">
        <v>55</v>
      </c>
      <c r="G166" s="12">
        <f t="shared" si="2"/>
        <v>4.38</v>
      </c>
      <c r="H166" s="1">
        <v>2.0799999999999999E-2</v>
      </c>
    </row>
    <row r="167" spans="3:8">
      <c r="C167" s="9">
        <v>45946.842592534726</v>
      </c>
      <c r="D167" s="10">
        <v>162</v>
      </c>
      <c r="E167" s="1">
        <v>295.89999999999998</v>
      </c>
      <c r="F167" s="1">
        <v>51.8</v>
      </c>
      <c r="G167" s="12">
        <f t="shared" si="2"/>
        <v>4.7123552123552122</v>
      </c>
      <c r="H167" s="1">
        <v>2.0799999999999999E-2</v>
      </c>
    </row>
    <row r="168" spans="3:8">
      <c r="C168" s="9">
        <v>45946.843344849534</v>
      </c>
      <c r="D168" s="10">
        <v>163</v>
      </c>
      <c r="E168" s="1">
        <v>295.89999999999998</v>
      </c>
      <c r="F168" s="1">
        <v>55.5</v>
      </c>
      <c r="G168" s="12">
        <f t="shared" si="2"/>
        <v>4.3315315315315308</v>
      </c>
      <c r="H168" s="1">
        <v>2.0799999999999999E-2</v>
      </c>
    </row>
    <row r="169" spans="3:8">
      <c r="C169" s="9">
        <v>45946.84409716435</v>
      </c>
      <c r="D169" s="10">
        <v>164</v>
      </c>
      <c r="E169" s="1">
        <v>295.89999999999998</v>
      </c>
      <c r="F169" s="1">
        <v>53.5</v>
      </c>
      <c r="G169" s="12">
        <f t="shared" si="2"/>
        <v>4.5308411214953264</v>
      </c>
      <c r="H169" s="1">
        <v>2.0799999999999999E-2</v>
      </c>
    </row>
    <row r="170" spans="3:8">
      <c r="C170" s="9">
        <v>45946.844849479166</v>
      </c>
      <c r="D170" s="10">
        <v>165</v>
      </c>
      <c r="E170" s="1">
        <v>295.89999999999998</v>
      </c>
      <c r="F170" s="1">
        <v>43.4</v>
      </c>
      <c r="G170" s="12">
        <f t="shared" si="2"/>
        <v>5.8179723502304146</v>
      </c>
      <c r="H170" s="1">
        <v>2.0799999999999999E-2</v>
      </c>
    </row>
    <row r="171" spans="3:8">
      <c r="C171" s="9">
        <v>45946.845601793982</v>
      </c>
      <c r="D171" s="10">
        <v>166</v>
      </c>
      <c r="E171" s="1">
        <v>295.89999999999998</v>
      </c>
      <c r="F171" s="1">
        <v>49.6</v>
      </c>
      <c r="G171" s="12">
        <f t="shared" si="2"/>
        <v>4.9657258064516121</v>
      </c>
      <c r="H171" s="1">
        <v>2.0799999999999999E-2</v>
      </c>
    </row>
    <row r="172" spans="3:8">
      <c r="C172" s="9">
        <v>45946.846354108799</v>
      </c>
      <c r="D172" s="10">
        <v>167</v>
      </c>
      <c r="E172" s="1">
        <v>295.89999999999998</v>
      </c>
      <c r="F172" s="1">
        <v>43.1</v>
      </c>
      <c r="G172" s="12">
        <f t="shared" si="2"/>
        <v>5.8654292343387464</v>
      </c>
      <c r="H172" s="1">
        <v>2.0799999999999999E-2</v>
      </c>
    </row>
    <row r="173" spans="3:8">
      <c r="C173" s="9">
        <v>45946.847106423615</v>
      </c>
      <c r="D173" s="10">
        <v>168</v>
      </c>
      <c r="E173" s="1">
        <v>295.89999999999998</v>
      </c>
      <c r="F173" s="1">
        <v>48.4</v>
      </c>
      <c r="G173" s="12">
        <f t="shared" si="2"/>
        <v>5.1136363636363633</v>
      </c>
      <c r="H173" s="1">
        <v>2.0799999999999999E-2</v>
      </c>
    </row>
    <row r="174" spans="3:8">
      <c r="C174" s="9">
        <v>45946.847858738423</v>
      </c>
      <c r="D174" s="10">
        <v>169</v>
      </c>
      <c r="E174" s="1">
        <v>295.89999999999998</v>
      </c>
      <c r="F174" s="1">
        <v>42.5</v>
      </c>
      <c r="G174" s="12">
        <f t="shared" si="2"/>
        <v>5.9623529411764702</v>
      </c>
      <c r="H174" s="1">
        <v>2.0799999999999999E-2</v>
      </c>
    </row>
    <row r="175" spans="3:8">
      <c r="C175" s="9">
        <v>45946.848611053239</v>
      </c>
      <c r="D175" s="10">
        <v>170</v>
      </c>
      <c r="E175" s="1">
        <v>295.89999999999998</v>
      </c>
      <c r="F175" s="1">
        <v>41.4</v>
      </c>
      <c r="G175" s="12">
        <f t="shared" si="2"/>
        <v>6.1473429951690814</v>
      </c>
      <c r="H175" s="1">
        <v>2.0799999999999999E-2</v>
      </c>
    </row>
    <row r="176" spans="3:8">
      <c r="C176" s="9">
        <v>45946.849363368055</v>
      </c>
      <c r="D176" s="10">
        <v>171</v>
      </c>
      <c r="E176" s="1">
        <v>295.89999999999998</v>
      </c>
      <c r="F176" s="1">
        <v>45</v>
      </c>
      <c r="G176" s="12">
        <f t="shared" si="2"/>
        <v>5.5755555555555549</v>
      </c>
      <c r="H176" s="1">
        <v>2.0799999999999999E-2</v>
      </c>
    </row>
    <row r="177" spans="3:8">
      <c r="C177" s="9">
        <v>45946.850115682872</v>
      </c>
      <c r="D177" s="10">
        <v>172</v>
      </c>
      <c r="E177" s="1">
        <v>295.89999999999998</v>
      </c>
      <c r="F177" s="1">
        <v>43.2</v>
      </c>
      <c r="G177" s="12">
        <f t="shared" si="2"/>
        <v>5.8495370370370363</v>
      </c>
      <c r="H177" s="1">
        <v>2.0799999999999999E-2</v>
      </c>
    </row>
    <row r="178" spans="3:8">
      <c r="C178" s="9">
        <v>45946.850867997688</v>
      </c>
      <c r="D178" s="10">
        <v>173</v>
      </c>
      <c r="E178" s="1">
        <v>295.89999999999998</v>
      </c>
      <c r="F178" s="1">
        <v>36.200000000000003</v>
      </c>
      <c r="G178" s="12">
        <f t="shared" si="2"/>
        <v>7.1740331491712697</v>
      </c>
      <c r="H178" s="1">
        <v>2.0799999999999999E-2</v>
      </c>
    </row>
    <row r="179" spans="3:8">
      <c r="C179" s="9">
        <v>45946.851620312496</v>
      </c>
      <c r="D179" s="10">
        <v>174</v>
      </c>
      <c r="E179" s="1">
        <v>295.89999999999998</v>
      </c>
      <c r="F179" s="1">
        <v>34.4</v>
      </c>
      <c r="G179" s="12">
        <f t="shared" si="2"/>
        <v>7.6017441860465116</v>
      </c>
      <c r="H179" s="1">
        <v>2.0799999999999999E-2</v>
      </c>
    </row>
    <row r="180" spans="3:8">
      <c r="C180" s="9">
        <v>45946.852372627312</v>
      </c>
      <c r="D180" s="10">
        <v>175</v>
      </c>
      <c r="E180" s="1">
        <v>295.89999999999998</v>
      </c>
      <c r="F180" s="1">
        <v>36.9</v>
      </c>
      <c r="G180" s="12">
        <f t="shared" si="2"/>
        <v>7.0189701897018972</v>
      </c>
      <c r="H180" s="1">
        <v>2.0799999999999999E-2</v>
      </c>
    </row>
    <row r="181" spans="3:8">
      <c r="C181" s="9">
        <v>45946.853124942128</v>
      </c>
      <c r="D181" s="10">
        <v>176</v>
      </c>
      <c r="E181" s="1">
        <v>295.89999999999998</v>
      </c>
      <c r="F181" s="1">
        <v>38.299999999999997</v>
      </c>
      <c r="G181" s="12">
        <f t="shared" si="2"/>
        <v>6.7258485639686683</v>
      </c>
      <c r="H181" s="1">
        <v>2.0799999999999999E-2</v>
      </c>
    </row>
    <row r="182" spans="3:8">
      <c r="C182" s="9">
        <v>45946.853877256945</v>
      </c>
      <c r="D182" s="10">
        <v>177</v>
      </c>
      <c r="E182" s="1">
        <v>295.89999999999998</v>
      </c>
      <c r="F182" s="1">
        <v>33.200000000000003</v>
      </c>
      <c r="G182" s="12">
        <f t="shared" si="2"/>
        <v>7.9126506024096379</v>
      </c>
      <c r="H182" s="1">
        <v>2.0799999999999999E-2</v>
      </c>
    </row>
    <row r="183" spans="3:8">
      <c r="C183" s="9">
        <v>45946.854629571761</v>
      </c>
      <c r="D183" s="10">
        <v>178</v>
      </c>
      <c r="E183" s="1">
        <v>295.89999999999998</v>
      </c>
      <c r="F183" s="1">
        <v>32.6</v>
      </c>
      <c r="G183" s="12">
        <f t="shared" si="2"/>
        <v>8.0766871165644147</v>
      </c>
      <c r="H183" s="1">
        <v>2.0799999999999999E-2</v>
      </c>
    </row>
    <row r="184" spans="3:8">
      <c r="C184" s="9">
        <v>45946.855381886577</v>
      </c>
      <c r="D184" s="10">
        <v>179</v>
      </c>
      <c r="E184" s="1">
        <v>295.89999999999998</v>
      </c>
      <c r="F184" s="1">
        <v>36.299999999999997</v>
      </c>
      <c r="G184" s="12">
        <f t="shared" si="2"/>
        <v>7.1515151515151514</v>
      </c>
      <c r="H184" s="1">
        <v>2.0799999999999999E-2</v>
      </c>
    </row>
    <row r="185" spans="3:8">
      <c r="C185" s="9">
        <v>45946.856134201385</v>
      </c>
      <c r="D185" s="10">
        <v>180</v>
      </c>
      <c r="E185" s="1">
        <v>295.89999999999998</v>
      </c>
      <c r="F185" s="1">
        <v>35.6</v>
      </c>
      <c r="G185" s="12">
        <f t="shared" si="2"/>
        <v>7.311797752808987</v>
      </c>
      <c r="H185" s="1">
        <v>2.0799999999999999E-2</v>
      </c>
    </row>
    <row r="186" spans="3:8">
      <c r="C186" s="9">
        <v>45946.856886516201</v>
      </c>
      <c r="D186" s="10">
        <v>181</v>
      </c>
      <c r="E186" s="1">
        <v>295.89999999999998</v>
      </c>
      <c r="F186" s="1">
        <v>37.1</v>
      </c>
      <c r="G186" s="12">
        <f t="shared" si="2"/>
        <v>6.9757412398921819</v>
      </c>
      <c r="H186" s="1">
        <v>2.0799999999999999E-2</v>
      </c>
    </row>
    <row r="187" spans="3:8">
      <c r="C187" s="9">
        <v>45946.857638831018</v>
      </c>
      <c r="D187" s="10">
        <v>182</v>
      </c>
      <c r="E187" s="1">
        <v>295.89999999999998</v>
      </c>
      <c r="F187" s="1">
        <v>36.799999999999997</v>
      </c>
      <c r="G187" s="12">
        <f t="shared" si="2"/>
        <v>7.0407608695652169</v>
      </c>
      <c r="H187" s="1">
        <v>2.0799999999999999E-2</v>
      </c>
    </row>
    <row r="188" spans="3:8">
      <c r="C188" s="9">
        <v>45946.858391145834</v>
      </c>
      <c r="D188" s="10">
        <v>183</v>
      </c>
      <c r="E188" s="1">
        <v>295.89999999999998</v>
      </c>
      <c r="F188" s="1">
        <v>27.5</v>
      </c>
      <c r="G188" s="12">
        <f t="shared" si="2"/>
        <v>9.76</v>
      </c>
      <c r="H188" s="1">
        <v>2.0799999999999999E-2</v>
      </c>
    </row>
    <row r="189" spans="3:8">
      <c r="C189" s="9">
        <v>45946.85914346065</v>
      </c>
      <c r="D189" s="10">
        <v>184</v>
      </c>
      <c r="E189" s="1">
        <v>295.89999999999998</v>
      </c>
      <c r="F189" s="1">
        <v>26.4</v>
      </c>
      <c r="G189" s="12">
        <f t="shared" si="2"/>
        <v>10.208333333333334</v>
      </c>
      <c r="H189" s="1">
        <v>2.0799999999999999E-2</v>
      </c>
    </row>
    <row r="190" spans="3:8">
      <c r="C190" s="9">
        <v>45946.859895775466</v>
      </c>
      <c r="D190" s="10">
        <v>185</v>
      </c>
      <c r="E190" s="1">
        <v>295.89999999999998</v>
      </c>
      <c r="F190" s="1">
        <v>32.4</v>
      </c>
      <c r="G190" s="12">
        <f t="shared" si="2"/>
        <v>8.1327160493827169</v>
      </c>
      <c r="H190" s="1">
        <v>2.0799999999999999E-2</v>
      </c>
    </row>
    <row r="191" spans="3:8">
      <c r="C191" s="9">
        <v>45946.860648090274</v>
      </c>
      <c r="D191" s="10">
        <v>186</v>
      </c>
      <c r="E191" s="1">
        <v>295.89999999999998</v>
      </c>
      <c r="F191" s="1">
        <v>26.2</v>
      </c>
      <c r="G191" s="12">
        <f t="shared" si="2"/>
        <v>10.293893129770993</v>
      </c>
      <c r="H191" s="1">
        <v>2.0799999999999999E-2</v>
      </c>
    </row>
    <row r="192" spans="3:8">
      <c r="C192" s="9">
        <v>45946.861400405091</v>
      </c>
      <c r="D192" s="10">
        <v>187</v>
      </c>
      <c r="E192" s="1">
        <v>295.89999999999998</v>
      </c>
      <c r="F192" s="1">
        <v>33.6</v>
      </c>
      <c r="G192" s="12">
        <f t="shared" si="2"/>
        <v>7.8065476190476177</v>
      </c>
      <c r="H192" s="1">
        <v>2.0799999999999999E-2</v>
      </c>
    </row>
    <row r="193" spans="3:8">
      <c r="C193" s="9">
        <v>45946.862152719907</v>
      </c>
      <c r="D193" s="10">
        <v>188</v>
      </c>
      <c r="E193" s="1">
        <v>295.89999999999998</v>
      </c>
      <c r="F193" s="1">
        <v>33.1</v>
      </c>
      <c r="G193" s="12">
        <f t="shared" si="2"/>
        <v>7.9395770392749228</v>
      </c>
      <c r="H193" s="1">
        <v>2.0799999999999999E-2</v>
      </c>
    </row>
    <row r="194" spans="3:8">
      <c r="C194" s="9">
        <v>45946.862905034723</v>
      </c>
      <c r="D194" s="10">
        <v>189</v>
      </c>
      <c r="E194" s="1">
        <v>295.89999999999998</v>
      </c>
      <c r="F194" s="1">
        <v>25.7</v>
      </c>
      <c r="G194" s="12">
        <f t="shared" si="2"/>
        <v>10.513618677042802</v>
      </c>
      <c r="H194" s="1">
        <v>2.0799999999999999E-2</v>
      </c>
    </row>
    <row r="195" spans="3:8">
      <c r="C195" s="9">
        <v>45946.863657349539</v>
      </c>
      <c r="D195" s="10">
        <v>190</v>
      </c>
      <c r="E195" s="1">
        <v>295.89999999999998</v>
      </c>
      <c r="F195" s="1">
        <v>30.8</v>
      </c>
      <c r="G195" s="12">
        <f t="shared" si="2"/>
        <v>8.6071428571428559</v>
      </c>
      <c r="H195" s="1">
        <v>2.0799999999999999E-2</v>
      </c>
    </row>
    <row r="196" spans="3:8">
      <c r="C196" s="9">
        <v>45946.864409664355</v>
      </c>
      <c r="D196" s="10">
        <v>191</v>
      </c>
      <c r="E196" s="1">
        <v>295.89999999999998</v>
      </c>
      <c r="F196" s="1">
        <v>23.6</v>
      </c>
      <c r="G196" s="12">
        <f t="shared" si="2"/>
        <v>11.538135593220336</v>
      </c>
      <c r="H196" s="1">
        <v>2.0799999999999999E-2</v>
      </c>
    </row>
    <row r="197" spans="3:8">
      <c r="C197" s="9">
        <v>45946.865161979164</v>
      </c>
      <c r="D197" s="10">
        <v>192</v>
      </c>
      <c r="E197" s="1">
        <v>295.89999999999998</v>
      </c>
      <c r="F197" s="1">
        <v>30.7</v>
      </c>
      <c r="G197" s="12">
        <f t="shared" si="2"/>
        <v>8.6384364820846908</v>
      </c>
      <c r="H197" s="1">
        <v>2.0799999999999999E-2</v>
      </c>
    </row>
    <row r="198" spans="3:8">
      <c r="C198" s="9">
        <v>45946.86591429398</v>
      </c>
      <c r="D198" s="10">
        <v>193</v>
      </c>
      <c r="E198" s="1">
        <v>295.89999999999998</v>
      </c>
      <c r="F198" s="1">
        <v>21.6</v>
      </c>
      <c r="G198" s="12">
        <f t="shared" ref="G198:G254" si="3">(E198-F198)/F198</f>
        <v>12.699074074074071</v>
      </c>
      <c r="H198" s="1">
        <v>2.0799999999999999E-2</v>
      </c>
    </row>
    <row r="199" spans="3:8">
      <c r="C199" s="9">
        <v>45946.866666608796</v>
      </c>
      <c r="D199" s="10">
        <v>194</v>
      </c>
      <c r="E199" s="1">
        <v>295.89999999999998</v>
      </c>
      <c r="F199" s="1">
        <v>21.7</v>
      </c>
      <c r="G199" s="12">
        <f t="shared" si="3"/>
        <v>12.635944700460829</v>
      </c>
      <c r="H199" s="1">
        <v>2.0799999999999999E-2</v>
      </c>
    </row>
    <row r="200" spans="3:8">
      <c r="C200" s="9">
        <v>45946.867418923612</v>
      </c>
      <c r="D200" s="10">
        <v>195</v>
      </c>
      <c r="E200" s="1">
        <v>295.89999999999998</v>
      </c>
      <c r="F200" s="1">
        <v>25.1</v>
      </c>
      <c r="G200" s="12">
        <f t="shared" si="3"/>
        <v>10.788844621513942</v>
      </c>
      <c r="H200" s="1">
        <v>2.0799999999999999E-2</v>
      </c>
    </row>
    <row r="201" spans="3:8">
      <c r="C201" s="9">
        <v>45946.868171238428</v>
      </c>
      <c r="D201" s="10">
        <v>196</v>
      </c>
      <c r="E201" s="1">
        <v>295.89999999999998</v>
      </c>
      <c r="F201" s="1">
        <v>21.1</v>
      </c>
      <c r="G201" s="12">
        <f t="shared" si="3"/>
        <v>13.023696682464452</v>
      </c>
      <c r="H201" s="1">
        <v>2.0799999999999999E-2</v>
      </c>
    </row>
    <row r="202" spans="3:8">
      <c r="C202" s="9">
        <v>45946.868923553244</v>
      </c>
      <c r="D202" s="10">
        <v>197</v>
      </c>
      <c r="E202" s="1">
        <v>295.89999999999998</v>
      </c>
      <c r="F202" s="1">
        <v>21.9</v>
      </c>
      <c r="G202" s="12">
        <f t="shared" si="3"/>
        <v>12.511415525114156</v>
      </c>
      <c r="H202" s="1">
        <v>2.0799999999999999E-2</v>
      </c>
    </row>
    <row r="203" spans="3:8">
      <c r="C203" s="9">
        <v>45946.869675868053</v>
      </c>
      <c r="D203" s="10">
        <v>198</v>
      </c>
      <c r="E203" s="1">
        <v>295.89999999999998</v>
      </c>
      <c r="F203" s="1">
        <v>23.4</v>
      </c>
      <c r="G203" s="12">
        <f t="shared" si="3"/>
        <v>11.645299145299147</v>
      </c>
      <c r="H203" s="1">
        <v>2.0799999999999999E-2</v>
      </c>
    </row>
    <row r="204" spans="3:8">
      <c r="C204" s="9">
        <v>45946.870428182869</v>
      </c>
      <c r="D204" s="10">
        <v>199</v>
      </c>
      <c r="E204" s="1">
        <v>295.89999999999998</v>
      </c>
      <c r="F204" s="1">
        <v>22.8</v>
      </c>
      <c r="G204" s="12">
        <f t="shared" si="3"/>
        <v>11.978070175438594</v>
      </c>
      <c r="H204" s="1">
        <v>2.0799999999999999E-2</v>
      </c>
    </row>
    <row r="205" spans="3:8">
      <c r="C205" s="9">
        <v>45946.871180497685</v>
      </c>
      <c r="D205" s="10">
        <v>200</v>
      </c>
      <c r="E205" s="1">
        <v>295.89999999999998</v>
      </c>
      <c r="F205" s="1">
        <v>20.6</v>
      </c>
      <c r="G205" s="12">
        <f t="shared" si="3"/>
        <v>13.36407766990291</v>
      </c>
      <c r="H205" s="1">
        <v>2.0799999999999999E-2</v>
      </c>
    </row>
    <row r="206" spans="3:8">
      <c r="C206" s="9">
        <v>45946.871932812501</v>
      </c>
      <c r="D206" s="10">
        <v>201</v>
      </c>
      <c r="E206" s="1">
        <v>295.89999999999998</v>
      </c>
      <c r="F206" s="1">
        <v>24.3</v>
      </c>
      <c r="G206" s="12">
        <f t="shared" si="3"/>
        <v>11.176954732510286</v>
      </c>
      <c r="H206" s="1">
        <v>2.0799999999999999E-2</v>
      </c>
    </row>
    <row r="207" spans="3:8">
      <c r="C207" s="9">
        <v>45946.872685127317</v>
      </c>
      <c r="D207" s="10">
        <v>202</v>
      </c>
      <c r="E207" s="1">
        <v>295.89999999999998</v>
      </c>
      <c r="F207" s="1">
        <v>19</v>
      </c>
      <c r="G207" s="12">
        <f t="shared" si="3"/>
        <v>14.573684210526315</v>
      </c>
      <c r="H207" s="1">
        <v>2.0799999999999999E-2</v>
      </c>
    </row>
    <row r="208" spans="3:8">
      <c r="C208" s="9">
        <v>45946.873437442133</v>
      </c>
      <c r="D208" s="10">
        <v>203</v>
      </c>
      <c r="E208" s="1">
        <v>295.89999999999998</v>
      </c>
      <c r="F208" s="1">
        <v>26.1</v>
      </c>
      <c r="G208" s="12">
        <f t="shared" si="3"/>
        <v>10.337164750957852</v>
      </c>
      <c r="H208" s="1">
        <v>2.0799999999999999E-2</v>
      </c>
    </row>
    <row r="209" spans="3:8">
      <c r="C209" s="9">
        <v>45946.874189756942</v>
      </c>
      <c r="D209" s="10">
        <v>204</v>
      </c>
      <c r="E209" s="1">
        <v>295.89999999999998</v>
      </c>
      <c r="F209" s="1">
        <v>25.2</v>
      </c>
      <c r="G209" s="12">
        <f t="shared" si="3"/>
        <v>10.742063492063492</v>
      </c>
      <c r="H209" s="1">
        <v>2.0799999999999999E-2</v>
      </c>
    </row>
    <row r="210" spans="3:8">
      <c r="C210" s="9">
        <v>45946.874942071758</v>
      </c>
      <c r="D210" s="10">
        <v>205</v>
      </c>
      <c r="E210" s="1">
        <v>295.89999999999998</v>
      </c>
      <c r="F210" s="1">
        <v>25.5</v>
      </c>
      <c r="G210" s="12">
        <f t="shared" si="3"/>
        <v>10.603921568627451</v>
      </c>
      <c r="H210" s="1">
        <v>2.0799999999999999E-2</v>
      </c>
    </row>
    <row r="211" spans="3:8">
      <c r="C211" s="9">
        <v>45946.875694386574</v>
      </c>
      <c r="D211" s="10">
        <v>206</v>
      </c>
      <c r="E211" s="1">
        <v>295.89999999999998</v>
      </c>
      <c r="F211" s="1">
        <v>22.1</v>
      </c>
      <c r="G211" s="12">
        <f t="shared" si="3"/>
        <v>12.38914027149321</v>
      </c>
      <c r="H211" s="1">
        <v>2.0799999999999999E-2</v>
      </c>
    </row>
    <row r="212" spans="3:8">
      <c r="C212" s="9">
        <v>45946.87644670139</v>
      </c>
      <c r="D212" s="10">
        <v>207</v>
      </c>
      <c r="E212" s="1">
        <v>295.89999999999998</v>
      </c>
      <c r="F212" s="1">
        <v>22.6</v>
      </c>
      <c r="G212" s="12">
        <f t="shared" si="3"/>
        <v>12.092920353982299</v>
      </c>
      <c r="H212" s="1">
        <v>2.0799999999999999E-2</v>
      </c>
    </row>
    <row r="213" spans="3:8">
      <c r="C213" s="9">
        <v>45946.877199016206</v>
      </c>
      <c r="D213" s="10">
        <v>208</v>
      </c>
      <c r="E213" s="1">
        <v>295.89999999999998</v>
      </c>
      <c r="F213" s="1">
        <v>19.899999999999999</v>
      </c>
      <c r="G213" s="12">
        <f t="shared" si="3"/>
        <v>13.869346733668342</v>
      </c>
      <c r="H213" s="1">
        <v>2.0799999999999999E-2</v>
      </c>
    </row>
    <row r="214" spans="3:8">
      <c r="C214" s="9">
        <v>45946.877951331022</v>
      </c>
      <c r="D214" s="10">
        <v>209</v>
      </c>
      <c r="E214" s="1">
        <v>295.89999999999998</v>
      </c>
      <c r="F214" s="1">
        <v>25.3</v>
      </c>
      <c r="G214" s="12">
        <f t="shared" si="3"/>
        <v>10.695652173913041</v>
      </c>
      <c r="H214" s="1">
        <v>2.0799999999999999E-2</v>
      </c>
    </row>
    <row r="215" spans="3:8">
      <c r="C215" s="9">
        <v>45946.878703645831</v>
      </c>
      <c r="D215" s="10">
        <v>210</v>
      </c>
      <c r="E215" s="1">
        <v>295.89999999999998</v>
      </c>
      <c r="F215" s="1">
        <v>19</v>
      </c>
      <c r="G215" s="12">
        <f t="shared" si="3"/>
        <v>14.573684210526315</v>
      </c>
      <c r="H215" s="1">
        <v>2.0799999999999999E-2</v>
      </c>
    </row>
    <row r="216" spans="3:8">
      <c r="C216" s="9">
        <v>45946.879455960647</v>
      </c>
      <c r="D216" s="10">
        <v>211</v>
      </c>
      <c r="E216" s="1">
        <v>295.89999999999998</v>
      </c>
      <c r="F216" s="1">
        <v>17.7</v>
      </c>
      <c r="G216" s="12">
        <f t="shared" si="3"/>
        <v>15.717514124293785</v>
      </c>
      <c r="H216" s="1">
        <v>2.0799999999999999E-2</v>
      </c>
    </row>
    <row r="217" spans="3:8">
      <c r="C217" s="9">
        <v>45946.880208275463</v>
      </c>
      <c r="D217" s="10">
        <v>212</v>
      </c>
      <c r="E217" s="1">
        <v>295.89999999999998</v>
      </c>
      <c r="F217" s="1">
        <v>18.5</v>
      </c>
      <c r="G217" s="12">
        <f t="shared" si="3"/>
        <v>14.994594594594593</v>
      </c>
      <c r="H217" s="1">
        <v>2.0799999999999999E-2</v>
      </c>
    </row>
    <row r="218" spans="3:8">
      <c r="C218" s="9">
        <v>45946.880960590279</v>
      </c>
      <c r="D218" s="10">
        <v>213</v>
      </c>
      <c r="E218" s="1">
        <v>295.89999999999998</v>
      </c>
      <c r="F218" s="1">
        <v>22.5</v>
      </c>
      <c r="G218" s="12">
        <f t="shared" si="3"/>
        <v>12.15111111111111</v>
      </c>
      <c r="H218" s="1">
        <v>2.0799999999999999E-2</v>
      </c>
    </row>
    <row r="219" spans="3:8">
      <c r="C219" s="9">
        <v>45946.881712905095</v>
      </c>
      <c r="D219" s="10">
        <v>214</v>
      </c>
      <c r="E219" s="1">
        <v>295.89999999999998</v>
      </c>
      <c r="F219" s="1">
        <v>17</v>
      </c>
      <c r="G219" s="12">
        <f t="shared" si="3"/>
        <v>16.405882352941177</v>
      </c>
      <c r="H219" s="1">
        <v>2.0799999999999999E-2</v>
      </c>
    </row>
    <row r="220" spans="3:8">
      <c r="C220" s="9">
        <v>45946.882465219911</v>
      </c>
      <c r="D220" s="10">
        <v>215</v>
      </c>
      <c r="E220" s="1">
        <v>295.89999999999998</v>
      </c>
      <c r="F220" s="1">
        <v>21.4</v>
      </c>
      <c r="G220" s="12">
        <f t="shared" si="3"/>
        <v>12.827102803738319</v>
      </c>
      <c r="H220" s="1">
        <v>2.0799999999999999E-2</v>
      </c>
    </row>
    <row r="221" spans="3:8">
      <c r="C221" s="9">
        <v>45946.88321753472</v>
      </c>
      <c r="D221" s="10">
        <v>216</v>
      </c>
      <c r="E221" s="1">
        <v>295.89999999999998</v>
      </c>
      <c r="F221" s="1">
        <v>22.9</v>
      </c>
      <c r="G221" s="12">
        <f t="shared" si="3"/>
        <v>11.921397379912664</v>
      </c>
      <c r="H221" s="1">
        <v>2.0799999999999999E-2</v>
      </c>
    </row>
    <row r="222" spans="3:8">
      <c r="C222" s="9">
        <v>45946.883969849536</v>
      </c>
      <c r="D222" s="10">
        <v>217</v>
      </c>
      <c r="E222" s="1">
        <v>295.89999999999998</v>
      </c>
      <c r="F222" s="1">
        <v>14.3</v>
      </c>
      <c r="G222" s="12">
        <f t="shared" si="3"/>
        <v>19.69230769230769</v>
      </c>
      <c r="H222" s="1">
        <v>2.0799999999999999E-2</v>
      </c>
    </row>
    <row r="223" spans="3:8">
      <c r="C223" s="9">
        <v>45946.884722164352</v>
      </c>
      <c r="D223" s="10">
        <v>218</v>
      </c>
      <c r="E223" s="1">
        <v>295.89999999999998</v>
      </c>
      <c r="F223" s="1">
        <v>18.3</v>
      </c>
      <c r="G223" s="12">
        <f t="shared" si="3"/>
        <v>15.169398907103822</v>
      </c>
      <c r="H223" s="1">
        <v>2.0799999999999999E-2</v>
      </c>
    </row>
    <row r="224" spans="3:8">
      <c r="C224" s="9">
        <v>45946.885474479168</v>
      </c>
      <c r="D224" s="10">
        <v>219</v>
      </c>
      <c r="E224" s="1">
        <v>295.89999999999998</v>
      </c>
      <c r="F224" s="1">
        <v>21.5</v>
      </c>
      <c r="G224" s="12">
        <f t="shared" si="3"/>
        <v>12.762790697674417</v>
      </c>
      <c r="H224" s="1">
        <v>2.0799999999999999E-2</v>
      </c>
    </row>
    <row r="225" spans="3:8">
      <c r="C225" s="9">
        <v>45946.886226793984</v>
      </c>
      <c r="D225" s="10">
        <v>220</v>
      </c>
      <c r="E225" s="1">
        <v>295.89999999999998</v>
      </c>
      <c r="F225" s="1">
        <v>22.5</v>
      </c>
      <c r="G225" s="12">
        <f t="shared" si="3"/>
        <v>12.15111111111111</v>
      </c>
      <c r="H225" s="1">
        <v>2.0799999999999999E-2</v>
      </c>
    </row>
    <row r="226" spans="3:8">
      <c r="C226" s="9">
        <v>45946.886979108793</v>
      </c>
      <c r="D226" s="10">
        <v>221</v>
      </c>
      <c r="E226" s="1">
        <v>295.89999999999998</v>
      </c>
      <c r="F226" s="1">
        <v>21.2</v>
      </c>
      <c r="G226" s="12">
        <f t="shared" si="3"/>
        <v>12.95754716981132</v>
      </c>
      <c r="H226" s="1">
        <v>2.0799999999999999E-2</v>
      </c>
    </row>
    <row r="227" spans="3:8">
      <c r="C227" s="9">
        <v>45946.887731423609</v>
      </c>
      <c r="D227" s="10">
        <v>222</v>
      </c>
      <c r="E227" s="1">
        <v>295.89999999999998</v>
      </c>
      <c r="F227" s="1">
        <v>15.6</v>
      </c>
      <c r="G227" s="12">
        <f t="shared" si="3"/>
        <v>17.967948717948715</v>
      </c>
      <c r="H227" s="1">
        <v>2.0799999999999999E-2</v>
      </c>
    </row>
    <row r="228" spans="3:8">
      <c r="C228" s="9">
        <v>45946.888483738425</v>
      </c>
      <c r="D228" s="10">
        <v>223</v>
      </c>
      <c r="E228" s="1">
        <v>295.89999999999998</v>
      </c>
      <c r="F228" s="1">
        <v>15.4</v>
      </c>
      <c r="G228" s="12">
        <f t="shared" si="3"/>
        <v>18.214285714285715</v>
      </c>
      <c r="H228" s="1">
        <v>2.0799999999999999E-2</v>
      </c>
    </row>
    <row r="229" spans="3:8">
      <c r="C229" s="9">
        <v>45946.889236053241</v>
      </c>
      <c r="D229" s="10">
        <v>224</v>
      </c>
      <c r="E229" s="1">
        <v>295.89999999999998</v>
      </c>
      <c r="F229" s="1">
        <v>21.9</v>
      </c>
      <c r="G229" s="12">
        <f t="shared" si="3"/>
        <v>12.511415525114156</v>
      </c>
      <c r="H229" s="1">
        <v>2.0799999999999999E-2</v>
      </c>
    </row>
    <row r="230" spans="3:8">
      <c r="C230" s="9">
        <v>45946.889988368057</v>
      </c>
      <c r="D230" s="10">
        <v>225</v>
      </c>
      <c r="E230" s="1">
        <v>295.89999999999998</v>
      </c>
      <c r="F230" s="1">
        <v>18.5</v>
      </c>
      <c r="G230" s="12">
        <f t="shared" si="3"/>
        <v>14.994594594594593</v>
      </c>
      <c r="H230" s="1">
        <v>2.0799999999999999E-2</v>
      </c>
    </row>
    <row r="231" spans="3:8">
      <c r="C231" s="9">
        <v>45946.890740682873</v>
      </c>
      <c r="D231" s="10">
        <v>226</v>
      </c>
      <c r="E231" s="1">
        <v>295.89999999999998</v>
      </c>
      <c r="F231" s="1">
        <v>14</v>
      </c>
      <c r="G231" s="12">
        <f t="shared" si="3"/>
        <v>20.135714285714283</v>
      </c>
      <c r="H231" s="1">
        <v>2.0799999999999999E-2</v>
      </c>
    </row>
    <row r="232" spans="3:8">
      <c r="C232" s="9">
        <v>45946.891492997682</v>
      </c>
      <c r="D232" s="10">
        <v>227</v>
      </c>
      <c r="E232" s="1">
        <v>295.89999999999998</v>
      </c>
      <c r="F232" s="1">
        <v>16.3</v>
      </c>
      <c r="G232" s="12">
        <f t="shared" si="3"/>
        <v>17.153374233128833</v>
      </c>
      <c r="H232" s="1">
        <v>2.0799999999999999E-2</v>
      </c>
    </row>
    <row r="233" spans="3:8">
      <c r="C233" s="9">
        <v>45946.892245312498</v>
      </c>
      <c r="D233" s="10">
        <v>228</v>
      </c>
      <c r="E233" s="1">
        <v>295.89999999999998</v>
      </c>
      <c r="F233" s="1">
        <v>19.600000000000001</v>
      </c>
      <c r="G233" s="12">
        <f t="shared" si="3"/>
        <v>14.096938775510202</v>
      </c>
      <c r="H233" s="1">
        <v>2.0799999999999999E-2</v>
      </c>
    </row>
    <row r="234" spans="3:8">
      <c r="C234" s="9">
        <v>45946.892997627314</v>
      </c>
      <c r="D234" s="10">
        <v>229</v>
      </c>
      <c r="E234" s="1">
        <v>295.89999999999998</v>
      </c>
      <c r="F234" s="1">
        <v>13.2</v>
      </c>
      <c r="G234" s="12">
        <f t="shared" si="3"/>
        <v>21.416666666666668</v>
      </c>
      <c r="H234" s="1">
        <v>2.0799999999999999E-2</v>
      </c>
    </row>
    <row r="235" spans="3:8">
      <c r="C235" s="9">
        <v>45946.89374994213</v>
      </c>
      <c r="D235" s="10">
        <v>230</v>
      </c>
      <c r="E235" s="1">
        <v>295.89999999999998</v>
      </c>
      <c r="F235" s="1">
        <v>14.8</v>
      </c>
      <c r="G235" s="12">
        <f t="shared" si="3"/>
        <v>18.993243243243239</v>
      </c>
      <c r="H235" s="1">
        <v>2.0799999999999999E-2</v>
      </c>
    </row>
    <row r="236" spans="3:8">
      <c r="C236" s="9">
        <v>45946.894502256946</v>
      </c>
      <c r="D236" s="10">
        <v>231</v>
      </c>
      <c r="E236" s="1">
        <v>295.89999999999998</v>
      </c>
      <c r="F236" s="1">
        <v>18.399999999999999</v>
      </c>
      <c r="G236" s="12">
        <f t="shared" si="3"/>
        <v>15.081521739130435</v>
      </c>
      <c r="H236" s="1">
        <v>2.0799999999999999E-2</v>
      </c>
    </row>
    <row r="237" spans="3:8">
      <c r="C237" s="9">
        <v>45946.895254571762</v>
      </c>
      <c r="D237" s="10">
        <v>232</v>
      </c>
      <c r="E237" s="1">
        <v>295.89999999999998</v>
      </c>
      <c r="F237" s="1">
        <v>17.399999999999999</v>
      </c>
      <c r="G237" s="12">
        <f t="shared" si="3"/>
        <v>16.005747126436784</v>
      </c>
      <c r="H237" s="1">
        <v>2.0799999999999999E-2</v>
      </c>
    </row>
    <row r="238" spans="3:8">
      <c r="C238" s="9">
        <v>45946.896006886571</v>
      </c>
      <c r="D238" s="10">
        <v>233</v>
      </c>
      <c r="E238" s="1">
        <v>295.89999999999998</v>
      </c>
      <c r="F238" s="1">
        <v>13.4</v>
      </c>
      <c r="G238" s="12">
        <f t="shared" si="3"/>
        <v>21.082089552238806</v>
      </c>
      <c r="H238" s="1">
        <v>2.0799999999999999E-2</v>
      </c>
    </row>
    <row r="239" spans="3:8">
      <c r="C239" s="9">
        <v>45946.896759201387</v>
      </c>
      <c r="D239" s="10">
        <v>234</v>
      </c>
      <c r="E239" s="1">
        <v>295.89999999999998</v>
      </c>
      <c r="F239" s="1">
        <v>17.8</v>
      </c>
      <c r="G239" s="12">
        <f t="shared" si="3"/>
        <v>15.623595505617976</v>
      </c>
      <c r="H239" s="1">
        <v>2.0799999999999999E-2</v>
      </c>
    </row>
    <row r="240" spans="3:8">
      <c r="C240" s="9">
        <v>45946.897511516203</v>
      </c>
      <c r="D240" s="10">
        <v>235</v>
      </c>
      <c r="E240" s="1">
        <v>295.89999999999998</v>
      </c>
      <c r="F240" s="1">
        <v>21.1</v>
      </c>
      <c r="G240" s="12">
        <f t="shared" si="3"/>
        <v>13.023696682464452</v>
      </c>
      <c r="H240" s="1">
        <v>2.0799999999999999E-2</v>
      </c>
    </row>
    <row r="241" spans="3:8">
      <c r="C241" s="9">
        <v>45946.898263831019</v>
      </c>
      <c r="D241" s="10">
        <v>236</v>
      </c>
      <c r="E241" s="1">
        <v>295.89999999999998</v>
      </c>
      <c r="F241" s="1">
        <v>20.5</v>
      </c>
      <c r="G241" s="12">
        <f t="shared" si="3"/>
        <v>13.434146341463414</v>
      </c>
      <c r="H241" s="1">
        <v>2.0799999999999999E-2</v>
      </c>
    </row>
    <row r="242" spans="3:8">
      <c r="C242" s="9">
        <v>45946.899016145835</v>
      </c>
      <c r="D242" s="10">
        <v>237</v>
      </c>
      <c r="E242" s="1">
        <v>295.89999999999998</v>
      </c>
      <c r="F242" s="1">
        <v>19.2</v>
      </c>
      <c r="G242" s="12">
        <f t="shared" si="3"/>
        <v>14.411458333333334</v>
      </c>
      <c r="H242" s="1">
        <v>2.0799999999999999E-2</v>
      </c>
    </row>
    <row r="243" spans="3:8">
      <c r="C243" s="9">
        <v>45946.899768460651</v>
      </c>
      <c r="D243" s="10">
        <v>238</v>
      </c>
      <c r="E243" s="1">
        <v>295.89999999999998</v>
      </c>
      <c r="F243" s="1">
        <v>17.100000000000001</v>
      </c>
      <c r="G243" s="12">
        <f t="shared" si="3"/>
        <v>16.304093567251456</v>
      </c>
      <c r="H243" s="1">
        <v>2.0799999999999999E-2</v>
      </c>
    </row>
    <row r="244" spans="3:8">
      <c r="C244" s="9">
        <v>45946.90052077546</v>
      </c>
      <c r="D244" s="10">
        <v>239</v>
      </c>
      <c r="E244" s="1">
        <v>295.89999999999998</v>
      </c>
      <c r="F244" s="1">
        <v>19.3</v>
      </c>
      <c r="G244" s="12">
        <f t="shared" si="3"/>
        <v>14.331606217616578</v>
      </c>
      <c r="H244" s="1">
        <v>2.0799999999999999E-2</v>
      </c>
    </row>
    <row r="245" spans="3:8">
      <c r="C245" s="9">
        <v>45946.901273090276</v>
      </c>
      <c r="D245" s="10">
        <v>240</v>
      </c>
      <c r="E245" s="1">
        <v>295.89999999999998</v>
      </c>
      <c r="F245" s="1">
        <v>12.5</v>
      </c>
      <c r="G245" s="12">
        <f t="shared" si="3"/>
        <v>22.671999999999997</v>
      </c>
      <c r="H245" s="1">
        <v>2.0799999999999999E-2</v>
      </c>
    </row>
    <row r="246" spans="3:8">
      <c r="C246" s="9">
        <v>45946.902025405092</v>
      </c>
      <c r="D246" s="10">
        <v>241</v>
      </c>
      <c r="E246" s="1">
        <v>295.89999999999998</v>
      </c>
      <c r="F246" s="1">
        <v>20.6</v>
      </c>
      <c r="G246" s="12">
        <f t="shared" si="3"/>
        <v>13.36407766990291</v>
      </c>
      <c r="H246" s="1">
        <v>2.0799999999999999E-2</v>
      </c>
    </row>
    <row r="247" spans="3:8">
      <c r="C247" s="9">
        <v>45946.902777719908</v>
      </c>
      <c r="D247" s="10">
        <v>242</v>
      </c>
      <c r="E247" s="1">
        <v>295.89999999999998</v>
      </c>
      <c r="F247" s="1">
        <v>15.2</v>
      </c>
      <c r="G247" s="12">
        <f t="shared" si="3"/>
        <v>18.467105263157894</v>
      </c>
      <c r="H247" s="1">
        <v>2.0799999999999999E-2</v>
      </c>
    </row>
    <row r="248" spans="3:8">
      <c r="C248" s="9">
        <v>45946.903530034724</v>
      </c>
      <c r="D248" s="10">
        <v>243</v>
      </c>
      <c r="E248" s="1">
        <v>295.89999999999998</v>
      </c>
      <c r="F248" s="1">
        <v>17.8</v>
      </c>
      <c r="G248" s="12">
        <f t="shared" si="3"/>
        <v>15.623595505617976</v>
      </c>
      <c r="H248" s="1">
        <v>2.0799999999999999E-2</v>
      </c>
    </row>
    <row r="249" spans="3:8">
      <c r="C249" s="9">
        <v>45946.90428234954</v>
      </c>
      <c r="D249" s="10">
        <v>244</v>
      </c>
      <c r="E249" s="1">
        <v>295.89999999999998</v>
      </c>
      <c r="F249" s="1">
        <v>20.6</v>
      </c>
      <c r="G249" s="12">
        <f t="shared" si="3"/>
        <v>13.36407766990291</v>
      </c>
      <c r="H249" s="1">
        <v>2.0799999999999999E-2</v>
      </c>
    </row>
    <row r="250" spans="3:8">
      <c r="C250" s="9">
        <v>45946.905034664349</v>
      </c>
      <c r="D250" s="10">
        <v>245</v>
      </c>
      <c r="E250" s="1">
        <v>295.89999999999998</v>
      </c>
      <c r="F250" s="1">
        <v>21.5</v>
      </c>
      <c r="G250" s="12">
        <f t="shared" si="3"/>
        <v>12.762790697674417</v>
      </c>
      <c r="H250" s="1">
        <v>2.0799999999999999E-2</v>
      </c>
    </row>
    <row r="251" spans="3:8">
      <c r="C251" s="9">
        <v>45946.905786979165</v>
      </c>
      <c r="D251" s="10">
        <v>246</v>
      </c>
      <c r="E251" s="1">
        <v>295.89999999999998</v>
      </c>
      <c r="F251" s="1">
        <v>21.5</v>
      </c>
      <c r="G251" s="12">
        <f t="shared" si="3"/>
        <v>12.762790697674417</v>
      </c>
      <c r="H251" s="1">
        <v>2.0799999999999999E-2</v>
      </c>
    </row>
    <row r="252" spans="3:8">
      <c r="C252" s="9">
        <v>45946.906539293981</v>
      </c>
      <c r="D252" s="10">
        <v>247</v>
      </c>
      <c r="E252" s="1">
        <v>295.89999999999998</v>
      </c>
      <c r="F252" s="1">
        <v>21.2</v>
      </c>
      <c r="G252" s="12">
        <f t="shared" si="3"/>
        <v>12.95754716981132</v>
      </c>
      <c r="H252" s="1">
        <v>2.0799999999999999E-2</v>
      </c>
    </row>
    <row r="253" spans="3:8">
      <c r="C253" s="9">
        <v>45946.907291608797</v>
      </c>
      <c r="D253" s="10">
        <v>248</v>
      </c>
      <c r="E253" s="1">
        <v>295.89999999999998</v>
      </c>
      <c r="F253" s="1">
        <v>19.3</v>
      </c>
      <c r="G253" s="12">
        <f t="shared" si="3"/>
        <v>14.331606217616578</v>
      </c>
      <c r="H253" s="1">
        <v>2.0799999999999999E-2</v>
      </c>
    </row>
    <row r="254" spans="3:8">
      <c r="C254" s="9">
        <v>45946.908043923613</v>
      </c>
      <c r="D254" s="10">
        <v>249</v>
      </c>
      <c r="E254" s="1">
        <v>295.89999999999998</v>
      </c>
      <c r="F254" s="1">
        <v>14.3</v>
      </c>
      <c r="G254" s="12">
        <f t="shared" si="3"/>
        <v>19.69230769230769</v>
      </c>
      <c r="H254" s="1">
        <v>2.0799999999999999E-2</v>
      </c>
    </row>
    <row r="255" spans="3:8">
      <c r="G255" s="12"/>
    </row>
    <row r="256" spans="3:8">
      <c r="G256" s="12"/>
    </row>
    <row r="257" spans="7:7">
      <c r="G257" s="12"/>
    </row>
    <row r="258" spans="7:7">
      <c r="G258" s="12"/>
    </row>
    <row r="259" spans="7:7">
      <c r="G259" s="12"/>
    </row>
    <row r="260" spans="7:7">
      <c r="G260" s="12"/>
    </row>
    <row r="261" spans="7:7">
      <c r="G261" s="12"/>
    </row>
    <row r="262" spans="7:7">
      <c r="G262" s="12"/>
    </row>
    <row r="263" spans="7:7">
      <c r="G263" s="12"/>
    </row>
    <row r="264" spans="7:7">
      <c r="G264" s="12"/>
    </row>
    <row r="265" spans="7:7">
      <c r="G265" s="12"/>
    </row>
    <row r="266" spans="7:7">
      <c r="G266" s="12"/>
    </row>
    <row r="267" spans="7:7">
      <c r="G267" s="12"/>
    </row>
    <row r="268" spans="7:7">
      <c r="G268" s="12"/>
    </row>
    <row r="269" spans="7:7">
      <c r="G269" s="12"/>
    </row>
    <row r="270" spans="7:7">
      <c r="G270" s="12"/>
    </row>
    <row r="271" spans="7:7">
      <c r="G271" s="12"/>
    </row>
    <row r="272" spans="7:7">
      <c r="G272" s="12"/>
    </row>
    <row r="273" spans="7:7">
      <c r="G273" s="12"/>
    </row>
    <row r="274" spans="7:7">
      <c r="G274" s="12"/>
    </row>
    <row r="275" spans="7:7">
      <c r="G275" s="12"/>
    </row>
    <row r="276" spans="7:7">
      <c r="G276" s="12"/>
    </row>
    <row r="277" spans="7:7">
      <c r="G277" s="12"/>
    </row>
    <row r="278" spans="7:7">
      <c r="G278" s="12"/>
    </row>
    <row r="279" spans="7:7">
      <c r="G279" s="12"/>
    </row>
    <row r="280" spans="7:7">
      <c r="G280" s="12"/>
    </row>
    <row r="281" spans="7:7">
      <c r="G281" s="12"/>
    </row>
    <row r="282" spans="7:7">
      <c r="G282" s="12"/>
    </row>
    <row r="283" spans="7:7">
      <c r="G283" s="12"/>
    </row>
    <row r="284" spans="7:7">
      <c r="G284" s="12"/>
    </row>
    <row r="285" spans="7:7">
      <c r="G285" s="12"/>
    </row>
    <row r="286" spans="7:7">
      <c r="G286" s="12"/>
    </row>
    <row r="287" spans="7:7">
      <c r="G287" s="12"/>
    </row>
    <row r="288" spans="7:7">
      <c r="G288" s="12"/>
    </row>
    <row r="289" spans="7:7">
      <c r="G289" s="12"/>
    </row>
    <row r="290" spans="7:7">
      <c r="G290" s="12"/>
    </row>
    <row r="291" spans="7:7">
      <c r="G291" s="12"/>
    </row>
    <row r="292" spans="7:7">
      <c r="G292" s="12"/>
    </row>
    <row r="293" spans="7:7">
      <c r="G293" s="12"/>
    </row>
    <row r="294" spans="7:7">
      <c r="G294" s="12"/>
    </row>
    <row r="295" spans="7:7">
      <c r="G295" s="12"/>
    </row>
    <row r="296" spans="7:7">
      <c r="G296" s="12"/>
    </row>
    <row r="297" spans="7:7">
      <c r="G297" s="12"/>
    </row>
    <row r="298" spans="7:7">
      <c r="G298" s="12"/>
    </row>
    <row r="299" spans="7:7">
      <c r="G299" s="12"/>
    </row>
    <row r="300" spans="7:7">
      <c r="G300" s="12"/>
    </row>
    <row r="301" spans="7:7">
      <c r="G301" s="12"/>
    </row>
    <row r="302" spans="7:7">
      <c r="G302" s="12"/>
    </row>
    <row r="303" spans="7:7">
      <c r="G303" s="12"/>
    </row>
    <row r="304" spans="7:7">
      <c r="G304" s="12"/>
    </row>
    <row r="305" spans="7:7">
      <c r="G305" s="12"/>
    </row>
    <row r="306" spans="7:7">
      <c r="G306" s="12"/>
    </row>
    <row r="307" spans="7:7">
      <c r="G307" s="12"/>
    </row>
    <row r="308" spans="7:7">
      <c r="G308" s="12"/>
    </row>
    <row r="309" spans="7:7">
      <c r="G309" s="12"/>
    </row>
    <row r="310" spans="7:7">
      <c r="G310" s="12"/>
    </row>
    <row r="311" spans="7:7">
      <c r="G311" s="12"/>
    </row>
    <row r="312" spans="7:7">
      <c r="G312" s="12"/>
    </row>
    <row r="313" spans="7:7">
      <c r="G313" s="12"/>
    </row>
    <row r="314" spans="7:7">
      <c r="G314" s="12"/>
    </row>
    <row r="315" spans="7:7">
      <c r="G315" s="12"/>
    </row>
    <row r="316" spans="7:7">
      <c r="G316" s="12"/>
    </row>
    <row r="317" spans="7:7">
      <c r="G317" s="12"/>
    </row>
    <row r="318" spans="7:7">
      <c r="G318" s="12"/>
    </row>
    <row r="319" spans="7:7">
      <c r="G319" s="12"/>
    </row>
    <row r="320" spans="7:7">
      <c r="G320" s="12"/>
    </row>
    <row r="321" spans="7:7">
      <c r="G321" s="12"/>
    </row>
    <row r="322" spans="7:7">
      <c r="G322" s="12"/>
    </row>
    <row r="323" spans="7:7">
      <c r="G323" s="12"/>
    </row>
    <row r="324" spans="7:7">
      <c r="G324" s="12"/>
    </row>
    <row r="325" spans="7:7">
      <c r="G325" s="12"/>
    </row>
    <row r="326" spans="7:7">
      <c r="G326" s="12"/>
    </row>
    <row r="327" spans="7:7">
      <c r="G327" s="12"/>
    </row>
    <row r="328" spans="7:7">
      <c r="G328" s="12"/>
    </row>
    <row r="329" spans="7:7">
      <c r="G329" s="12"/>
    </row>
    <row r="330" spans="7:7">
      <c r="G330" s="12"/>
    </row>
    <row r="331" spans="7:7">
      <c r="G331" s="12"/>
    </row>
    <row r="332" spans="7:7">
      <c r="G332" s="12"/>
    </row>
    <row r="333" spans="7:7">
      <c r="G333" s="12"/>
    </row>
    <row r="334" spans="7:7">
      <c r="G334" s="12"/>
    </row>
    <row r="335" spans="7:7">
      <c r="G335" s="12"/>
    </row>
    <row r="336" spans="7:7">
      <c r="G336" s="12"/>
    </row>
    <row r="337" spans="7:7">
      <c r="G337" s="12"/>
    </row>
    <row r="338" spans="7:7">
      <c r="G338" s="12"/>
    </row>
    <row r="339" spans="7:7">
      <c r="G339" s="12"/>
    </row>
    <row r="340" spans="7:7">
      <c r="G340" s="12"/>
    </row>
    <row r="341" spans="7:7">
      <c r="G341" s="12"/>
    </row>
    <row r="342" spans="7:7">
      <c r="G342" s="12"/>
    </row>
    <row r="343" spans="7:7">
      <c r="G343" s="12"/>
    </row>
    <row r="344" spans="7:7">
      <c r="G344" s="12"/>
    </row>
    <row r="345" spans="7:7">
      <c r="G345" s="12"/>
    </row>
    <row r="346" spans="7:7">
      <c r="G346" s="12"/>
    </row>
    <row r="347" spans="7:7">
      <c r="G347" s="12"/>
    </row>
    <row r="348" spans="7:7">
      <c r="G348" s="12"/>
    </row>
    <row r="349" spans="7:7">
      <c r="G349" s="12"/>
    </row>
    <row r="350" spans="7:7">
      <c r="G350" s="12"/>
    </row>
    <row r="351" spans="7:7">
      <c r="G351" s="12"/>
    </row>
    <row r="352" spans="7:7">
      <c r="G352" s="12"/>
    </row>
    <row r="353" spans="7:7">
      <c r="G353" s="12"/>
    </row>
    <row r="354" spans="7:7">
      <c r="G354" s="12"/>
    </row>
    <row r="355" spans="7:7">
      <c r="G355" s="12"/>
    </row>
    <row r="356" spans="7:7">
      <c r="G356" s="12"/>
    </row>
    <row r="357" spans="7:7">
      <c r="G357" s="12"/>
    </row>
    <row r="358" spans="7:7">
      <c r="G358" s="12"/>
    </row>
    <row r="359" spans="7:7">
      <c r="G359" s="12"/>
    </row>
    <row r="360" spans="7:7">
      <c r="G360" s="12"/>
    </row>
    <row r="361" spans="7:7">
      <c r="G36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adult_007_20251017_102741</vt:lpstr>
      <vt:lpstr>adult_007_20251016_171748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Bird, Anna R</dc:creator>
  <cp:lastModifiedBy>Bird, Anna R</cp:lastModifiedBy>
  <dcterms:created xsi:type="dcterms:W3CDTF">2025-12-16T01:32:38Z</dcterms:created>
  <dcterms:modified xsi:type="dcterms:W3CDTF">2025-12-16T10:04:13Z</dcterms:modified>
</cp:coreProperties>
</file>